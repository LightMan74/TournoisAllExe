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eau\source\repos\LightMan74\TournoisAllExe\TournoisAllExe\Resources\"/>
    </mc:Choice>
  </mc:AlternateContent>
  <xr:revisionPtr revIDLastSave="0" documentId="13_ncr:1_{6D76F744-7D1F-45A9-8A12-2CB612924F75}" xr6:coauthVersionLast="47" xr6:coauthVersionMax="47" xr10:uidLastSave="{00000000-0000-0000-0000-000000000000}"/>
  <bookViews>
    <workbookView xWindow="-120" yWindow="-120" windowWidth="29040" windowHeight="16440" firstSheet="1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CODE_MATCHS_PH" sheetId="198" state="veryHidden" r:id="rId6"/>
    <sheet name="NOTES" sheetId="71" r:id="rId7"/>
    <sheet name="TEMPLATE" sheetId="133" r:id="rId8"/>
    <sheet name="FEUILLE_DE_SCORE" sheetId="154" r:id="rId9"/>
    <sheet name="HUITIEME" sheetId="216" state="veryHidden" r:id="rId10"/>
  </sheets>
  <functionGroups builtInGroupCount="19"/>
  <definedNames>
    <definedName name="_xlnm.Print_Area" localSheetId="8">FEUILLE_DE_SCORE!$A$1:$P$33</definedName>
    <definedName name="_xlnm.Print_Area" localSheetId="9">HUITIEME!$A$2:$AL$42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K16" i="71"/>
  <c r="K15" i="71"/>
  <c r="K14" i="71"/>
  <c r="K13" i="71"/>
  <c r="K12" i="71"/>
  <c r="K11" i="71"/>
  <c r="K10" i="71"/>
  <c r="K9" i="71"/>
  <c r="K8" i="71"/>
  <c r="K7" i="71"/>
  <c r="K6" i="71"/>
  <c r="K5" i="71"/>
  <c r="K4" i="71"/>
  <c r="K3" i="71"/>
  <c r="K2" i="71"/>
  <c r="K1" i="71"/>
  <c r="M36" i="71"/>
  <c r="M35" i="71"/>
  <c r="M32" i="71"/>
  <c r="M31" i="71"/>
  <c r="M27" i="71"/>
  <c r="M26" i="71"/>
  <c r="M23" i="71"/>
  <c r="M22" i="71"/>
  <c r="M18" i="71"/>
  <c r="M17" i="71"/>
  <c r="M14" i="71"/>
  <c r="M13" i="71"/>
  <c r="M9" i="71"/>
  <c r="M8" i="71"/>
  <c r="M5" i="71"/>
  <c r="M4" i="71"/>
  <c r="P6" i="71"/>
  <c r="V8" i="216"/>
  <c r="V80" i="216"/>
  <c r="Q80" i="216"/>
  <c r="AA78" i="216"/>
  <c r="L78" i="216"/>
  <c r="V76" i="216"/>
  <c r="Q76" i="216"/>
  <c r="AD75" i="216"/>
  <c r="Y75" i="216"/>
  <c r="N75" i="216"/>
  <c r="I75" i="216"/>
  <c r="AJ72" i="216"/>
  <c r="AF72" i="216"/>
  <c r="Y72" i="216"/>
  <c r="N72" i="216"/>
  <c r="G72" i="216"/>
  <c r="C72" i="216"/>
  <c r="V71" i="216"/>
  <c r="Q71" i="216"/>
  <c r="AA68" i="216"/>
  <c r="L68" i="216"/>
  <c r="AH67" i="216"/>
  <c r="V67" i="216"/>
  <c r="Q67" i="216"/>
  <c r="E67" i="216"/>
  <c r="V62" i="216"/>
  <c r="Q62" i="216"/>
  <c r="AH60" i="216"/>
  <c r="AA60" i="216"/>
  <c r="L60" i="216"/>
  <c r="E60" i="216"/>
  <c r="V58" i="216"/>
  <c r="Q58" i="216"/>
  <c r="AD57" i="216"/>
  <c r="Y57" i="216"/>
  <c r="N57" i="216"/>
  <c r="I57" i="216"/>
  <c r="AJ54" i="216"/>
  <c r="AF54" i="216"/>
  <c r="Y54" i="216"/>
  <c r="N54" i="216"/>
  <c r="G54" i="216"/>
  <c r="C54" i="216"/>
  <c r="V53" i="216"/>
  <c r="Q53" i="216"/>
  <c r="AA50" i="216"/>
  <c r="L50" i="216"/>
  <c r="V49" i="216"/>
  <c r="Q49" i="216"/>
  <c r="V39" i="216"/>
  <c r="Q39" i="216"/>
  <c r="AA37" i="216"/>
  <c r="L37" i="216"/>
  <c r="V35" i="216"/>
  <c r="Q35" i="216"/>
  <c r="AD34" i="216"/>
  <c r="Y34" i="216"/>
  <c r="N34" i="216"/>
  <c r="I34" i="216"/>
  <c r="AJ31" i="216"/>
  <c r="AF31" i="216"/>
  <c r="Y31" i="216"/>
  <c r="N31" i="216"/>
  <c r="G31" i="216"/>
  <c r="C31" i="216"/>
  <c r="V30" i="216"/>
  <c r="Q30" i="216"/>
  <c r="AA27" i="216"/>
  <c r="L27" i="216"/>
  <c r="AH26" i="216"/>
  <c r="V26" i="216"/>
  <c r="Q26" i="216"/>
  <c r="E26" i="216"/>
  <c r="V21" i="216"/>
  <c r="Q21" i="216"/>
  <c r="AH19" i="216"/>
  <c r="AA19" i="216"/>
  <c r="L19" i="216"/>
  <c r="E19" i="216"/>
  <c r="V17" i="216"/>
  <c r="Q17" i="216"/>
  <c r="AD16" i="216"/>
  <c r="Y16" i="216"/>
  <c r="N16" i="216"/>
  <c r="I16" i="216"/>
  <c r="AJ13" i="216"/>
  <c r="AF13" i="216"/>
  <c r="Y13" i="216"/>
  <c r="N13" i="216"/>
  <c r="G13" i="216"/>
  <c r="C13" i="216"/>
  <c r="V12" i="216"/>
  <c r="Q12" i="216"/>
  <c r="AA9" i="216"/>
  <c r="L9" i="216"/>
  <c r="Q8" i="216"/>
  <c r="P7" i="71"/>
  <c r="P3" i="71"/>
  <c r="A17" i="1"/>
  <c r="I47" i="133" l="1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<sst xmlns="http://schemas.openxmlformats.org/spreadsheetml/2006/main" count="4406" uniqueCount="229">
  <si>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</si>
  <si>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</si>
  <si>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</si>
  <si>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</si>
  <si>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</si>
  <si>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</si>
  <si>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</si>
  <si>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</si>
  <si>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</si>
  <si>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</si>
  <si>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</si>
  <si>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</si>
  <si>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</si>
  <si>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</si>
  <si>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</si>
  <si>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</si>
  <si>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</si>
  <si>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</si>
  <si>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</si>
  <si>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</si>
  <si>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</si>
  <si>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</si>
  <si>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</si>
  <si>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</si>
  <si>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</si>
  <si>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</si>
  <si>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</si>
  <si>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</si>
  <si>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</si>
  <si>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</si>
  <si>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</si>
  <si>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</si>
  <si>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</si>
  <si>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</si>
  <si>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</si>
  <si>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</si>
  <si>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</si>
  <si>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</si>
  <si>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</si>
  <si>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</si>
  <si>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</si>
  <si>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</si>
  <si>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</si>
  <si>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</si>
  <si>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</si>
  <si>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</si>
  <si>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</si>
  <si>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</si>
  <si>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</si>
  <si>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</si>
  <si>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</si>
  <si>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</si>
  <si>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</si>
  <si>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</si>
  <si>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</si>
  <si>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</si>
  <si>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</si>
  <si>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</si>
  <si>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</si>
  <si>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</si>
  <si>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</si>
  <si>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</si>
  <si>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</si>
  <si>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</si>
  <si>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</si>
  <si>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</si>
  <si>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</si>
  <si>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</si>
  <si>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</si>
  <si>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</si>
  <si>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</si>
  <si>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</si>
  <si>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</si>
  <si>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</si>
  <si>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</si>
  <si>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</si>
  <si>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</si>
  <si>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</si>
  <si>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</si>
  <si>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</si>
  <si>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</si>
  <si>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</si>
  <si>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</si>
  <si>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</si>
  <si>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</si>
  <si>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</si>
  <si>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</si>
  <si>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</si>
  <si>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</si>
  <si>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</si>
  <si>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</si>
  <si>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</si>
  <si>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</si>
  <si>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</si>
  <si>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</si>
  <si>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</si>
  <si>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</si>
  <si>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</si>
  <si>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</si>
  <si>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</si>
  <si>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</si>
  <si>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</si>
  <si>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</si>
  <si>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</si>
  <si>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</si>
  <si>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</si>
  <si>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</si>
  <si>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</si>
  <si>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</si>
  <si>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</si>
  <si>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</si>
  <si>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</si>
  <si>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</si>
  <si>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</si>
  <si>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</si>
  <si>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</si>
  <si>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</si>
  <si>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</si>
  <si>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</si>
  <si>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</si>
  <si>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</si>
  <si>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</si>
  <si>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</si>
  <si>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</si>
  <si>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</si>
  <si>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</si>
  <si>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</si>
  <si>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</si>
  <si>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</si>
  <si>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</si>
  <si>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</si>
  <si>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</si>
  <si>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</si>
  <si>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</si>
  <si>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</si>
  <si>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</si>
  <si>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</si>
  <si>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</si>
  <si>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</si>
  <si>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</si>
  <si>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</si>
  <si>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</si>
  <si>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</si>
  <si>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</si>
  <si>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</si>
  <si>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</si>
  <si>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</si>
  <si>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5A</t>
  </si>
  <si>
    <t>6A</t>
  </si>
  <si>
    <t>7A</t>
  </si>
  <si>
    <t>5B</t>
  </si>
  <si>
    <t>6B</t>
  </si>
  <si>
    <t>7B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</si>
  <si>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</si>
  <si>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</si>
  <si>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</si>
  <si>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</si>
  <si>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</si>
  <si>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</si>
  <si>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</si>
  <si>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</si>
  <si>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</si>
  <si>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</si>
  <si>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</si>
  <si>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</si>
  <si>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7D</t>
  </si>
  <si>
    <t>DM</t>
  </si>
  <si>
    <t>DH</t>
  </si>
  <si>
    <t>CODE_MATCHS_PH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</si>
  <si>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</si>
  <si>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</si>
  <si>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</si>
  <si>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</si>
  <si>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</si>
  <si>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</si>
  <si>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</si>
  <si>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</si>
  <si>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</si>
  <si>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</si>
  <si>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</si>
  <si>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</si>
  <si>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7E</t>
  </si>
  <si>
    <t>Libre</t>
  </si>
  <si>
    <t>nc3 custom</t>
  </si>
  <si>
    <t>Cree et propose par William LANSARD
Dedicace a RionMa</t>
  </si>
  <si>
    <t>TABLEAU PRINCIPAL</t>
  </si>
  <si>
    <t>Finales de classement</t>
  </si>
  <si>
    <t>1/2 de classement</t>
  </si>
  <si>
    <t>1/4 class</t>
  </si>
  <si>
    <t>1/4</t>
  </si>
  <si>
    <t>1/2 Finales</t>
  </si>
  <si>
    <t>Finales</t>
  </si>
  <si>
    <t>9-10</t>
  </si>
  <si>
    <t>11-12</t>
  </si>
  <si>
    <t>13-14</t>
  </si>
  <si>
    <t>15-16</t>
  </si>
  <si>
    <t>9-12</t>
  </si>
  <si>
    <t>13-16</t>
  </si>
  <si>
    <t>9-16</t>
  </si>
  <si>
    <t>1-16</t>
  </si>
  <si>
    <t>1-8</t>
  </si>
  <si>
    <t>5-8</t>
  </si>
  <si>
    <t>1-4</t>
  </si>
  <si>
    <t>7-8</t>
  </si>
  <si>
    <t>5-6</t>
  </si>
  <si>
    <t>3-4</t>
  </si>
  <si>
    <t>1-2</t>
  </si>
  <si>
    <t>BY Fabien GUERS</t>
  </si>
  <si>
    <t>1/8eme de final</t>
  </si>
  <si>
    <t>CONSOLANTE</t>
  </si>
  <si>
    <t>25-26</t>
  </si>
  <si>
    <t>27-28</t>
  </si>
  <si>
    <t>29-30</t>
  </si>
  <si>
    <t>31-32</t>
  </si>
  <si>
    <t>25-28</t>
  </si>
  <si>
    <t>29-32</t>
  </si>
  <si>
    <t>25-32</t>
  </si>
  <si>
    <t>17-24</t>
  </si>
  <si>
    <t>21-24</t>
  </si>
  <si>
    <t>17-20</t>
  </si>
  <si>
    <t>23-24</t>
  </si>
  <si>
    <t>21-22</t>
  </si>
  <si>
    <t>19-20</t>
  </si>
  <si>
    <t>17-18</t>
  </si>
  <si>
    <t>Version 3.70</t>
  </si>
  <si>
    <t>TERRAIN 1</t>
  </si>
  <si>
    <t>TERRAIN 2</t>
  </si>
  <si>
    <t>TERRAIN 3</t>
  </si>
  <si>
    <t>TERRAIN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</si>
</sst>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3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CE9178"/>
      <name val="Consolas"/>
      <family val="3"/>
    </font>
    <font>
      <b/>
      <sz val="66"/>
      <color rgb="FF468A1A"/>
      <name val="MV Boli"/>
    </font>
    <font>
      <b/>
      <sz val="18"/>
      <name val="Arial"/>
      <family val="2"/>
      <charset val="1"/>
    </font>
    <font>
      <sz val="18"/>
      <name val="Arial"/>
      <family val="2"/>
      <charset val="1"/>
    </font>
    <font>
      <b/>
      <i/>
      <sz val="22"/>
      <name val="Arial"/>
      <family val="2"/>
      <charset val="1"/>
    </font>
    <font>
      <i/>
      <sz val="22"/>
      <name val="Arial"/>
      <family val="2"/>
      <charset val="1"/>
    </font>
    <font>
      <b/>
      <sz val="16"/>
      <name val="Arial"/>
      <family val="2"/>
      <charset val="1"/>
    </font>
    <font>
      <b/>
      <sz val="14"/>
      <name val="Arial"/>
      <family val="2"/>
      <charset val="1"/>
    </font>
    <font>
      <sz val="10"/>
      <name val="Arial"/>
      <family val="2"/>
      <charset val="1"/>
    </font>
    <font>
      <sz val="24"/>
      <name val="Arial"/>
      <family val="2"/>
      <charset val="1"/>
    </font>
    <font>
      <sz val="10"/>
      <color theme="0"/>
      <name val="Arial"/>
      <family val="2"/>
      <charset val="1"/>
    </font>
    <font>
      <sz val="24"/>
      <color theme="0"/>
      <name val="Arial"/>
      <family val="2"/>
      <charset val="1"/>
    </font>
    <font>
      <b/>
      <sz val="16"/>
      <color theme="0"/>
      <name val="Arial"/>
      <family val="2"/>
      <charset val="1"/>
    </font>
    <font>
      <b/>
      <sz val="16"/>
      <color theme="0"/>
      <name val="Arial"/>
      <family val="2"/>
    </font>
    <font>
      <b/>
      <sz val="18"/>
      <color theme="0"/>
      <name val="Arial"/>
      <family val="2"/>
    </font>
    <font>
      <b/>
      <sz val="20"/>
      <name val="Arial"/>
      <family val="2"/>
      <charset val="1"/>
    </font>
    <font>
      <b/>
      <sz val="2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rgb="FFB2B2B2"/>
        <bgColor rgb="FF969696"/>
      </patternFill>
    </fill>
    <fill>
      <patternFill patternType="solid">
        <fgColor theme="0"/>
        <bgColor rgb="FFFFFFCC"/>
      </patternFill>
    </fill>
    <fill>
      <patternFill patternType="solid">
        <fgColor rgb="FF000000"/>
        <bgColor rgb="FFFFFFCC"/>
      </patternFill>
    </fill>
    <fill>
      <patternFill patternType="solid">
        <fgColor rgb="FF00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</fills>
  <borders count="1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rgb="FFFF0000"/>
      </bottom>
      <diagonal/>
    </border>
    <border>
      <left style="thick">
        <color rgb="FFFFC000"/>
      </left>
      <right/>
      <top/>
      <bottom/>
      <diagonal/>
    </border>
    <border>
      <left/>
      <right style="thick">
        <color rgb="FFFFC000"/>
      </right>
      <top/>
      <bottom/>
      <diagonal/>
    </border>
    <border>
      <left style="thick">
        <color rgb="FFFFC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C000"/>
      </right>
      <top style="thin">
        <color indexed="64"/>
      </top>
      <bottom style="thin">
        <color indexed="64"/>
      </bottom>
      <diagonal/>
    </border>
    <border>
      <left style="thick">
        <color rgb="FFFFC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FFC000"/>
      </right>
      <top style="medium">
        <color indexed="64"/>
      </top>
      <bottom style="medium">
        <color indexed="64"/>
      </bottom>
      <diagonal/>
    </border>
    <border>
      <left style="thick">
        <color rgb="FFFFC000"/>
      </left>
      <right style="medium">
        <color auto="1"/>
      </right>
      <top style="medium">
        <color auto="1"/>
      </top>
      <bottom style="thick">
        <color rgb="FFFFC000"/>
      </bottom>
      <diagonal/>
    </border>
    <border>
      <left style="medium">
        <color auto="1"/>
      </left>
      <right style="thick">
        <color rgb="FFFFC000"/>
      </right>
      <top style="medium">
        <color auto="1"/>
      </top>
      <bottom style="thick">
        <color rgb="FFFFC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medium">
        <color auto="1"/>
      </right>
      <top style="medium">
        <color auto="1"/>
      </top>
      <bottom style="thick">
        <color rgb="FFFF0000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 style="thick">
        <color rgb="FFFF0000"/>
      </bottom>
      <diagonal/>
    </border>
    <border>
      <left style="thick">
        <color rgb="FFFFC000"/>
      </left>
      <right style="thin">
        <color indexed="64"/>
      </right>
      <top style="thick">
        <color rgb="FFFFC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C000"/>
      </top>
      <bottom style="thin">
        <color indexed="64"/>
      </bottom>
      <diagonal/>
    </border>
    <border>
      <left style="thin">
        <color indexed="64"/>
      </left>
      <right style="thick">
        <color rgb="FFFFC000"/>
      </right>
      <top style="thick">
        <color rgb="FFFFC000"/>
      </top>
      <bottom style="thin">
        <color indexed="64"/>
      </bottom>
      <diagonal/>
    </border>
    <border>
      <left style="thick">
        <color rgb="FFFFC000"/>
      </left>
      <right/>
      <top/>
      <bottom style="thick">
        <color rgb="FFFFC000"/>
      </bottom>
      <diagonal/>
    </border>
    <border>
      <left/>
      <right/>
      <top/>
      <bottom style="thick">
        <color rgb="FFFFC000"/>
      </bottom>
      <diagonal/>
    </border>
    <border>
      <left/>
      <right style="thick">
        <color rgb="FFFFC000"/>
      </right>
      <top/>
      <bottom style="thick">
        <color rgb="FFFFC00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 style="thick">
        <color rgb="FFFFC000"/>
      </left>
      <right/>
      <top/>
      <bottom style="medium">
        <color indexed="64"/>
      </bottom>
      <diagonal/>
    </border>
    <border>
      <left/>
      <right style="thick">
        <color rgb="FFFFC000"/>
      </right>
      <top/>
      <bottom style="medium">
        <color indexed="64"/>
      </bottom>
      <diagonal/>
    </border>
    <border>
      <left style="thick">
        <color rgb="FFFF0000"/>
      </left>
      <right/>
      <top/>
      <bottom style="medium">
        <color auto="1"/>
      </bottom>
      <diagonal/>
    </border>
    <border>
      <left/>
      <right style="thick">
        <color rgb="FFFF0000"/>
      </right>
      <top/>
      <bottom style="medium">
        <color auto="1"/>
      </bottom>
      <diagonal/>
    </border>
    <border>
      <left style="thick">
        <color rgb="FFFF0000"/>
      </left>
      <right/>
      <top style="thin">
        <color indexed="64"/>
      </top>
      <bottom style="medium">
        <color auto="1"/>
      </bottom>
      <diagonal/>
    </border>
    <border>
      <left/>
      <right style="thick">
        <color rgb="FFFF0000"/>
      </right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ck">
        <color rgb="FFFF0000"/>
      </left>
      <right/>
      <top style="thick">
        <color rgb="FFFF0000"/>
      </top>
      <bottom style="thin">
        <color indexed="64"/>
      </bottom>
      <diagonal/>
    </border>
    <border>
      <left/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 style="thick">
        <color rgb="FFFFC000"/>
      </left>
      <right/>
      <top style="thin">
        <color indexed="64"/>
      </top>
      <bottom style="medium">
        <color auto="1"/>
      </bottom>
      <diagonal/>
    </border>
    <border>
      <left/>
      <right style="thick">
        <color rgb="FFFFC000"/>
      </right>
      <top style="thin">
        <color indexed="64"/>
      </top>
      <bottom style="medium">
        <color auto="1"/>
      </bottom>
      <diagonal/>
    </border>
    <border>
      <left style="thick">
        <color rgb="FFFFC000"/>
      </left>
      <right style="medium">
        <color auto="1"/>
      </right>
      <top style="medium">
        <color auto="1"/>
      </top>
      <bottom/>
      <diagonal/>
    </border>
    <border>
      <left style="thick">
        <color rgb="FFFFC000"/>
      </left>
      <right style="medium">
        <color auto="1"/>
      </right>
      <top/>
      <bottom style="thick">
        <color rgb="FFFFC000"/>
      </bottom>
      <diagonal/>
    </border>
    <border>
      <left style="thick">
        <color rgb="FFFFC000"/>
      </left>
      <right/>
      <top style="thin">
        <color indexed="64"/>
      </top>
      <bottom/>
      <diagonal/>
    </border>
    <border>
      <left/>
      <right style="thick">
        <color rgb="FFFFC000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28" fillId="0" borderId="0"/>
  </cellStyleXfs>
  <cellXfs count="30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28" fillId="13" borderId="0" xfId="2" applyFill="1"/>
    <xf numFmtId="0" fontId="28" fillId="0" borderId="0" xfId="2"/>
    <xf numFmtId="0" fontId="28" fillId="13" borderId="0" xfId="2" applyFill="1" applyAlignment="1">
      <alignment vertical="center"/>
    </xf>
    <xf numFmtId="0" fontId="26" fillId="0" borderId="0" xfId="2" applyFont="1"/>
    <xf numFmtId="0" fontId="26" fillId="13" borderId="71" xfId="2" applyFont="1" applyFill="1" applyBorder="1" applyAlignment="1" applyProtection="1">
      <alignment horizontal="center" vertical="center"/>
      <protection locked="0"/>
    </xf>
    <xf numFmtId="0" fontId="27" fillId="13" borderId="71" xfId="2" applyFont="1" applyFill="1" applyBorder="1" applyAlignment="1" applyProtection="1">
      <alignment horizontal="center" vertical="center"/>
      <protection locked="0"/>
    </xf>
    <xf numFmtId="0" fontId="28" fillId="16" borderId="0" xfId="2" applyFill="1"/>
    <xf numFmtId="0" fontId="29" fillId="16" borderId="0" xfId="2" applyFont="1" applyFill="1"/>
    <xf numFmtId="0" fontId="28" fillId="16" borderId="0" xfId="2" applyFill="1" applyAlignment="1">
      <alignment horizontal="center"/>
    </xf>
    <xf numFmtId="0" fontId="21" fillId="16" borderId="0" xfId="2" applyFont="1" applyFill="1" applyAlignment="1">
      <alignment horizontal="center" vertical="center"/>
    </xf>
    <xf numFmtId="0" fontId="23" fillId="16" borderId="0" xfId="2" applyFont="1" applyFill="1" applyAlignment="1">
      <alignment vertical="center"/>
    </xf>
    <xf numFmtId="0" fontId="22" fillId="16" borderId="0" xfId="2" applyFont="1" applyFill="1" applyAlignment="1">
      <alignment vertical="center"/>
    </xf>
    <xf numFmtId="0" fontId="28" fillId="16" borderId="0" xfId="2" applyFill="1" applyAlignment="1">
      <alignment vertical="center"/>
    </xf>
    <xf numFmtId="0" fontId="24" fillId="16" borderId="0" xfId="2" applyFont="1" applyFill="1" applyAlignment="1">
      <alignment vertical="center"/>
    </xf>
    <xf numFmtId="0" fontId="25" fillId="16" borderId="0" xfId="2" applyFont="1" applyFill="1" applyAlignment="1">
      <alignment vertical="center"/>
    </xf>
    <xf numFmtId="0" fontId="28" fillId="16" borderId="0" xfId="2" applyFill="1" applyProtection="1">
      <protection locked="0"/>
    </xf>
    <xf numFmtId="0" fontId="26" fillId="16" borderId="0" xfId="2" applyFont="1" applyFill="1" applyAlignment="1" applyProtection="1">
      <alignment horizontal="center" vertical="center"/>
      <protection locked="0"/>
    </xf>
    <xf numFmtId="0" fontId="27" fillId="16" borderId="0" xfId="2" applyFont="1" applyFill="1" applyAlignment="1" applyProtection="1">
      <alignment horizontal="center" vertical="center"/>
      <protection locked="0"/>
    </xf>
    <xf numFmtId="0" fontId="22" fillId="16" borderId="0" xfId="2" applyFont="1" applyFill="1" applyAlignment="1" applyProtection="1">
      <alignment horizontal="center" vertical="center"/>
      <protection locked="0"/>
    </xf>
    <xf numFmtId="0" fontId="28" fillId="17" borderId="0" xfId="2" applyFill="1"/>
    <xf numFmtId="0" fontId="26" fillId="16" borderId="0" xfId="2" applyFont="1" applyFill="1"/>
    <xf numFmtId="0" fontId="26" fillId="17" borderId="0" xfId="2" applyFont="1" applyFill="1"/>
    <xf numFmtId="0" fontId="30" fillId="16" borderId="0" xfId="2" applyFont="1" applyFill="1"/>
    <xf numFmtId="0" fontId="31" fillId="16" borderId="0" xfId="2" applyFont="1" applyFill="1"/>
    <xf numFmtId="0" fontId="28" fillId="16" borderId="75" xfId="2" applyFill="1" applyBorder="1"/>
    <xf numFmtId="0" fontId="28" fillId="16" borderId="76" xfId="2" applyFill="1" applyBorder="1"/>
    <xf numFmtId="0" fontId="26" fillId="16" borderId="75" xfId="2" applyFont="1" applyFill="1" applyBorder="1" applyAlignment="1" applyProtection="1">
      <alignment horizontal="center" vertical="center"/>
      <protection locked="0"/>
    </xf>
    <xf numFmtId="0" fontId="28" fillId="16" borderId="87" xfId="2" applyFill="1" applyBorder="1"/>
    <xf numFmtId="0" fontId="28" fillId="16" borderId="87" xfId="2" applyFill="1" applyBorder="1" applyProtection="1">
      <protection locked="0"/>
    </xf>
    <xf numFmtId="0" fontId="28" fillId="16" borderId="88" xfId="2" applyFill="1" applyBorder="1"/>
    <xf numFmtId="0" fontId="34" fillId="16" borderId="0" xfId="2" applyFont="1" applyFill="1"/>
    <xf numFmtId="0" fontId="28" fillId="16" borderId="96" xfId="2" applyFill="1" applyBorder="1"/>
    <xf numFmtId="0" fontId="28" fillId="16" borderId="97" xfId="2" applyFill="1" applyBorder="1"/>
    <xf numFmtId="0" fontId="28" fillId="16" borderId="75" xfId="2" applyFill="1" applyBorder="1" applyProtection="1">
      <protection locked="0"/>
    </xf>
    <xf numFmtId="0" fontId="28" fillId="16" borderId="98" xfId="2" applyFill="1" applyBorder="1"/>
    <xf numFmtId="0" fontId="26" fillId="16" borderId="87" xfId="2" applyFont="1" applyFill="1" applyBorder="1" applyAlignment="1" applyProtection="1">
      <alignment horizontal="center" vertical="center"/>
      <protection locked="0"/>
    </xf>
    <xf numFmtId="0" fontId="28" fillId="16" borderId="100" xfId="2" applyFill="1" applyBorder="1"/>
    <xf numFmtId="0" fontId="28" fillId="16" borderId="88" xfId="2" applyFill="1" applyBorder="1" applyAlignment="1">
      <alignment horizontal="center"/>
    </xf>
    <xf numFmtId="0" fontId="26" fillId="13" borderId="89" xfId="2" applyFont="1" applyFill="1" applyBorder="1" applyAlignment="1" applyProtection="1">
      <alignment horizontal="center" vertical="center"/>
      <protection locked="0"/>
    </xf>
    <xf numFmtId="0" fontId="27" fillId="13" borderId="90" xfId="2" applyFont="1" applyFill="1" applyBorder="1" applyAlignment="1" applyProtection="1">
      <alignment horizontal="center" vertical="center"/>
      <protection locked="0"/>
    </xf>
    <xf numFmtId="0" fontId="27" fillId="16" borderId="88" xfId="2" applyFont="1" applyFill="1" applyBorder="1" applyAlignment="1" applyProtection="1">
      <alignment horizontal="center" vertical="center"/>
      <protection locked="0"/>
    </xf>
    <xf numFmtId="0" fontId="26" fillId="13" borderId="91" xfId="2" applyFont="1" applyFill="1" applyBorder="1" applyAlignment="1" applyProtection="1">
      <alignment horizontal="center" vertical="center"/>
      <protection locked="0"/>
    </xf>
    <xf numFmtId="0" fontId="27" fillId="13" borderId="92" xfId="2" applyFont="1" applyFill="1" applyBorder="1" applyAlignment="1" applyProtection="1">
      <alignment horizontal="center" vertical="center"/>
      <protection locked="0"/>
    </xf>
    <xf numFmtId="0" fontId="28" fillId="16" borderId="112" xfId="2" applyFill="1" applyBorder="1"/>
    <xf numFmtId="0" fontId="28" fillId="16" borderId="88" xfId="2" applyFill="1" applyBorder="1" applyProtection="1">
      <protection locked="0"/>
    </xf>
    <xf numFmtId="0" fontId="28" fillId="16" borderId="113" xfId="2" applyFill="1" applyBorder="1"/>
    <xf numFmtId="0" fontId="26" fillId="16" borderId="76" xfId="2" applyFont="1" applyFill="1" applyBorder="1" applyAlignment="1" applyProtection="1">
      <alignment horizontal="center" vertical="center"/>
      <protection locked="0"/>
    </xf>
    <xf numFmtId="0" fontId="22" fillId="16" borderId="76" xfId="2" applyFont="1" applyFill="1" applyBorder="1" applyAlignment="1" applyProtection="1">
      <alignment horizontal="center" vertical="center"/>
      <protection locked="0"/>
    </xf>
    <xf numFmtId="49" fontId="15" fillId="18" borderId="73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5" fillId="18" borderId="6" xfId="0" applyNumberFormat="1" applyFont="1" applyFill="1" applyBorder="1" applyAlignment="1">
      <alignment horizontal="center" vertical="center"/>
    </xf>
    <xf numFmtId="49" fontId="0" fillId="19" borderId="120" xfId="0" applyNumberFormat="1" applyFill="1" applyBorder="1"/>
    <xf numFmtId="49" fontId="0" fillId="0" borderId="121" xfId="0" applyNumberFormat="1" applyBorder="1"/>
    <xf numFmtId="49" fontId="0" fillId="19" borderId="121" xfId="0" applyNumberFormat="1" applyFill="1" applyBorder="1"/>
    <xf numFmtId="49" fontId="0" fillId="19" borderId="122" xfId="0" applyNumberFormat="1" applyFill="1" applyBorder="1"/>
    <xf numFmtId="49" fontId="35" fillId="13" borderId="90" xfId="2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2" fillId="16" borderId="103" xfId="2" applyFont="1" applyFill="1" applyBorder="1" applyAlignment="1" applyProtection="1">
      <alignment horizontal="center" vertical="center"/>
      <protection locked="0"/>
    </xf>
    <xf numFmtId="0" fontId="32" fillId="16" borderId="104" xfId="2" applyFont="1" applyFill="1" applyBorder="1" applyAlignment="1" applyProtection="1">
      <alignment horizontal="center" vertical="center"/>
      <protection locked="0"/>
    </xf>
    <xf numFmtId="0" fontId="22" fillId="14" borderId="108" xfId="2" applyFont="1" applyFill="1" applyBorder="1" applyAlignment="1">
      <alignment horizontal="center" vertical="center"/>
    </xf>
    <xf numFmtId="0" fontId="22" fillId="14" borderId="109" xfId="2" applyFont="1" applyFill="1" applyBorder="1" applyAlignment="1">
      <alignment horizontal="center" vertical="center"/>
    </xf>
    <xf numFmtId="0" fontId="24" fillId="14" borderId="110" xfId="2" applyFont="1" applyFill="1" applyBorder="1" applyAlignment="1">
      <alignment horizontal="center" vertical="center"/>
    </xf>
    <xf numFmtId="0" fontId="24" fillId="14" borderId="111" xfId="2" applyFont="1" applyFill="1" applyBorder="1" applyAlignment="1">
      <alignment horizontal="center" vertical="center"/>
    </xf>
    <xf numFmtId="0" fontId="33" fillId="16" borderId="105" xfId="2" applyFont="1" applyFill="1" applyBorder="1" applyAlignment="1">
      <alignment horizontal="center"/>
    </xf>
    <xf numFmtId="0" fontId="33" fillId="16" borderId="106" xfId="2" applyFont="1" applyFill="1" applyBorder="1" applyAlignment="1">
      <alignment horizont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22" fillId="13" borderId="71" xfId="2" applyFont="1" applyFill="1" applyBorder="1" applyAlignment="1">
      <alignment horizontal="center" vertical="center"/>
    </xf>
    <xf numFmtId="0" fontId="22" fillId="13" borderId="71" xfId="2" applyFont="1" applyFill="1" applyBorder="1" applyAlignment="1" applyProtection="1">
      <alignment horizontal="center" vertical="center"/>
      <protection locked="0"/>
    </xf>
    <xf numFmtId="0" fontId="26" fillId="15" borderId="12" xfId="2" applyFont="1" applyFill="1" applyBorder="1" applyAlignment="1">
      <alignment horizontal="center" vertical="center"/>
    </xf>
    <xf numFmtId="0" fontId="26" fillId="13" borderId="12" xfId="2" applyFont="1" applyFill="1" applyBorder="1" applyAlignment="1" applyProtection="1">
      <alignment horizontal="center" vertical="center"/>
      <protection locked="0"/>
    </xf>
    <xf numFmtId="0" fontId="26" fillId="13" borderId="71" xfId="2" applyFont="1" applyFill="1" applyBorder="1" applyAlignment="1" applyProtection="1">
      <alignment horizontal="center" vertical="center"/>
      <protection locked="0"/>
    </xf>
    <xf numFmtId="0" fontId="26" fillId="13" borderId="71" xfId="2" applyFont="1" applyFill="1" applyBorder="1" applyAlignment="1">
      <alignment horizontal="center" vertical="center"/>
    </xf>
    <xf numFmtId="0" fontId="28" fillId="13" borderId="71" xfId="2" applyFill="1" applyBorder="1" applyProtection="1">
      <protection locked="0"/>
    </xf>
    <xf numFmtId="0" fontId="26" fillId="13" borderId="12" xfId="2" applyFont="1" applyFill="1" applyBorder="1" applyAlignment="1">
      <alignment horizontal="center" vertical="center"/>
    </xf>
    <xf numFmtId="0" fontId="28" fillId="13" borderId="12" xfId="2" applyFill="1" applyBorder="1" applyProtection="1">
      <protection locked="0"/>
    </xf>
    <xf numFmtId="0" fontId="22" fillId="13" borderId="12" xfId="2" applyFont="1" applyFill="1" applyBorder="1" applyAlignment="1">
      <alignment horizontal="center" vertical="center"/>
    </xf>
    <xf numFmtId="0" fontId="26" fillId="16" borderId="69" xfId="2" applyFont="1" applyFill="1" applyBorder="1" applyAlignment="1" applyProtection="1">
      <alignment horizontal="center" vertical="center"/>
      <protection locked="0"/>
    </xf>
    <xf numFmtId="0" fontId="26" fillId="16" borderId="70" xfId="2" applyFont="1" applyFill="1" applyBorder="1" applyAlignment="1" applyProtection="1">
      <alignment horizontal="center" vertical="center"/>
      <protection locked="0"/>
    </xf>
    <xf numFmtId="0" fontId="26" fillId="16" borderId="33" xfId="2" applyFont="1" applyFill="1" applyBorder="1" applyAlignment="1" applyProtection="1">
      <alignment horizontal="center" vertical="center"/>
      <protection locked="0"/>
    </xf>
    <xf numFmtId="0" fontId="24" fillId="14" borderId="12" xfId="2" applyFont="1" applyFill="1" applyBorder="1" applyAlignment="1">
      <alignment horizontal="center" vertical="center"/>
    </xf>
    <xf numFmtId="0" fontId="21" fillId="16" borderId="0" xfId="2" applyFont="1" applyFill="1" applyAlignment="1">
      <alignment horizontal="center" vertical="center"/>
    </xf>
    <xf numFmtId="0" fontId="22" fillId="14" borderId="12" xfId="2" applyFont="1" applyFill="1" applyBorder="1" applyAlignment="1">
      <alignment horizontal="center" vertical="center"/>
    </xf>
    <xf numFmtId="0" fontId="36" fillId="13" borderId="12" xfId="2" applyFont="1" applyFill="1" applyBorder="1" applyAlignment="1" applyProtection="1">
      <alignment horizontal="center" vertical="center"/>
      <protection locked="0"/>
    </xf>
    <xf numFmtId="0" fontId="26" fillId="13" borderId="78" xfId="2" applyFont="1" applyFill="1" applyBorder="1" applyAlignment="1">
      <alignment horizontal="center" vertical="center"/>
    </xf>
    <xf numFmtId="0" fontId="26" fillId="13" borderId="86" xfId="2" applyFont="1" applyFill="1" applyBorder="1" applyAlignment="1">
      <alignment horizontal="center" vertical="center"/>
    </xf>
    <xf numFmtId="0" fontId="26" fillId="13" borderId="85" xfId="2" applyFont="1" applyFill="1" applyBorder="1" applyAlignment="1">
      <alignment horizontal="center" vertical="center"/>
    </xf>
    <xf numFmtId="0" fontId="36" fillId="13" borderId="79" xfId="2" applyFont="1" applyFill="1" applyBorder="1" applyAlignment="1" applyProtection="1">
      <alignment horizontal="center" vertical="center"/>
      <protection locked="0"/>
    </xf>
    <xf numFmtId="0" fontId="26" fillId="13" borderId="80" xfId="2" applyFont="1" applyFill="1" applyBorder="1" applyAlignment="1">
      <alignment horizontal="center" vertical="center"/>
    </xf>
    <xf numFmtId="0" fontId="26" fillId="13" borderId="79" xfId="2" applyFont="1" applyFill="1" applyBorder="1" applyAlignment="1">
      <alignment horizontal="center" vertical="center"/>
    </xf>
    <xf numFmtId="0" fontId="35" fillId="13" borderId="80" xfId="2" applyFont="1" applyFill="1" applyBorder="1" applyAlignment="1" applyProtection="1">
      <alignment horizontal="center" vertical="center"/>
      <protection locked="0"/>
    </xf>
    <xf numFmtId="0" fontId="22" fillId="13" borderId="72" xfId="2" applyFont="1" applyFill="1" applyBorder="1" applyAlignment="1">
      <alignment horizontal="center" vertical="center"/>
    </xf>
    <xf numFmtId="0" fontId="36" fillId="13" borderId="80" xfId="2" applyFont="1" applyFill="1" applyBorder="1" applyAlignment="1" applyProtection="1">
      <alignment horizontal="center" vertical="center"/>
      <protection locked="0"/>
    </xf>
    <xf numFmtId="0" fontId="26" fillId="15" borderId="77" xfId="2" applyFont="1" applyFill="1" applyBorder="1" applyAlignment="1">
      <alignment horizontal="center" vertical="center"/>
    </xf>
    <xf numFmtId="0" fontId="36" fillId="13" borderId="89" xfId="2" applyFont="1" applyFill="1" applyBorder="1" applyAlignment="1" applyProtection="1">
      <alignment horizontal="center" vertical="center"/>
      <protection locked="0"/>
    </xf>
    <xf numFmtId="0" fontId="36" fillId="13" borderId="91" xfId="2" applyFont="1" applyFill="1" applyBorder="1" applyAlignment="1" applyProtection="1">
      <alignment horizontal="center" vertical="center"/>
      <protection locked="0"/>
    </xf>
    <xf numFmtId="0" fontId="26" fillId="13" borderId="72" xfId="2" applyFont="1" applyFill="1" applyBorder="1" applyAlignment="1">
      <alignment horizontal="center" vertical="center"/>
    </xf>
    <xf numFmtId="0" fontId="26" fillId="13" borderId="74" xfId="2" applyFont="1" applyFill="1" applyBorder="1" applyAlignment="1">
      <alignment horizontal="center" vertical="center"/>
    </xf>
    <xf numFmtId="0" fontId="36" fillId="13" borderId="90" xfId="2" applyFont="1" applyFill="1" applyBorder="1" applyAlignment="1" applyProtection="1">
      <alignment horizontal="center" vertical="center"/>
      <protection locked="0"/>
    </xf>
    <xf numFmtId="0" fontId="36" fillId="13" borderId="92" xfId="2" applyFont="1" applyFill="1" applyBorder="1" applyAlignment="1" applyProtection="1">
      <alignment horizontal="center" vertical="center"/>
      <protection locked="0"/>
    </xf>
    <xf numFmtId="0" fontId="36" fillId="13" borderId="81" xfId="2" applyFont="1" applyFill="1" applyBorder="1" applyAlignment="1" applyProtection="1">
      <alignment horizontal="center" vertical="center"/>
      <protection locked="0"/>
    </xf>
    <xf numFmtId="0" fontId="26" fillId="13" borderId="82" xfId="2" applyFont="1" applyFill="1" applyBorder="1" applyAlignment="1">
      <alignment horizontal="center" vertical="center"/>
    </xf>
    <xf numFmtId="0" fontId="26" fillId="13" borderId="116" xfId="2" applyFont="1" applyFill="1" applyBorder="1" applyAlignment="1">
      <alignment horizontal="center" vertical="center"/>
    </xf>
    <xf numFmtId="0" fontId="26" fillId="13" borderId="117" xfId="2" applyFont="1" applyFill="1" applyBorder="1" applyAlignment="1">
      <alignment horizontal="center" vertical="center"/>
    </xf>
    <xf numFmtId="0" fontId="26" fillId="15" borderId="86" xfId="2" applyFont="1" applyFill="1" applyBorder="1" applyAlignment="1">
      <alignment horizontal="center" vertical="center"/>
    </xf>
    <xf numFmtId="0" fontId="26" fillId="13" borderId="90" xfId="2" applyFont="1" applyFill="1" applyBorder="1" applyAlignment="1" applyProtection="1">
      <alignment horizontal="center" vertical="center"/>
      <protection locked="0"/>
    </xf>
    <xf numFmtId="0" fontId="24" fillId="14" borderId="77" xfId="2" applyFont="1" applyFill="1" applyBorder="1" applyAlignment="1">
      <alignment horizontal="center" vertical="center"/>
    </xf>
    <xf numFmtId="0" fontId="24" fillId="14" borderId="78" xfId="2" applyFont="1" applyFill="1" applyBorder="1" applyAlignment="1">
      <alignment horizontal="center" vertical="center"/>
    </xf>
    <xf numFmtId="0" fontId="24" fillId="14" borderId="85" xfId="2" applyFont="1" applyFill="1" applyBorder="1" applyAlignment="1">
      <alignment horizontal="center" vertical="center"/>
    </xf>
    <xf numFmtId="0" fontId="24" fillId="14" borderId="86" xfId="2" applyFont="1" applyFill="1" applyBorder="1" applyAlignment="1">
      <alignment horizontal="center" vertical="center"/>
    </xf>
    <xf numFmtId="0" fontId="22" fillId="14" borderId="93" xfId="2" applyFont="1" applyFill="1" applyBorder="1" applyAlignment="1">
      <alignment horizontal="center" vertical="center"/>
    </xf>
    <xf numFmtId="0" fontId="22" fillId="14" borderId="94" xfId="2" applyFont="1" applyFill="1" applyBorder="1" applyAlignment="1">
      <alignment horizontal="center" vertical="center"/>
    </xf>
    <xf numFmtId="0" fontId="22" fillId="14" borderId="95" xfId="2" applyFont="1" applyFill="1" applyBorder="1" applyAlignment="1">
      <alignment horizontal="center" vertical="center"/>
    </xf>
    <xf numFmtId="0" fontId="22" fillId="14" borderId="83" xfId="2" applyFont="1" applyFill="1" applyBorder="1" applyAlignment="1">
      <alignment horizontal="center" vertical="center"/>
    </xf>
    <xf numFmtId="0" fontId="22" fillId="14" borderId="99" xfId="2" applyFont="1" applyFill="1" applyBorder="1" applyAlignment="1">
      <alignment horizontal="center" vertical="center"/>
    </xf>
    <xf numFmtId="0" fontId="22" fillId="14" borderId="84" xfId="2" applyFont="1" applyFill="1" applyBorder="1" applyAlignment="1">
      <alignment horizontal="center" vertical="center"/>
    </xf>
    <xf numFmtId="0" fontId="34" fillId="16" borderId="107" xfId="2" applyFont="1" applyFill="1" applyBorder="1" applyAlignment="1">
      <alignment horizontal="center"/>
    </xf>
    <xf numFmtId="0" fontId="34" fillId="16" borderId="119" xfId="2" applyFont="1" applyFill="1" applyBorder="1" applyAlignment="1">
      <alignment horizontal="center"/>
    </xf>
    <xf numFmtId="0" fontId="33" fillId="16" borderId="107" xfId="2" applyFont="1" applyFill="1" applyBorder="1" applyAlignment="1">
      <alignment horizontal="center"/>
    </xf>
    <xf numFmtId="0" fontId="33" fillId="16" borderId="118" xfId="2" applyFont="1" applyFill="1" applyBorder="1" applyAlignment="1">
      <alignment horizontal="center"/>
    </xf>
    <xf numFmtId="0" fontId="33" fillId="16" borderId="119" xfId="2" applyFont="1" applyFill="1" applyBorder="1" applyAlignment="1">
      <alignment horizontal="center"/>
    </xf>
    <xf numFmtId="0" fontId="34" fillId="16" borderId="118" xfId="2" applyFont="1" applyFill="1" applyBorder="1" applyAlignment="1">
      <alignment horizontal="center"/>
    </xf>
    <xf numFmtId="0" fontId="33" fillId="16" borderId="110" xfId="2" applyFont="1" applyFill="1" applyBorder="1" applyAlignment="1">
      <alignment horizontal="center"/>
    </xf>
    <xf numFmtId="0" fontId="33" fillId="16" borderId="31" xfId="2" applyFont="1" applyFill="1" applyBorder="1" applyAlignment="1">
      <alignment horizontal="center"/>
    </xf>
    <xf numFmtId="0" fontId="34" fillId="16" borderId="20" xfId="2" applyFont="1" applyFill="1" applyBorder="1" applyAlignment="1">
      <alignment horizontal="center"/>
    </xf>
    <xf numFmtId="0" fontId="34" fillId="16" borderId="104" xfId="2" applyFont="1" applyFill="1" applyBorder="1" applyAlignment="1">
      <alignment horizontal="center"/>
    </xf>
    <xf numFmtId="0" fontId="34" fillId="16" borderId="101" xfId="2" applyFont="1" applyFill="1" applyBorder="1" applyAlignment="1">
      <alignment horizontal="center"/>
    </xf>
    <xf numFmtId="0" fontId="34" fillId="16" borderId="102" xfId="2" applyFont="1" applyFill="1" applyBorder="1" applyAlignment="1">
      <alignment horizontal="center"/>
    </xf>
    <xf numFmtId="0" fontId="34" fillId="16" borderId="114" xfId="2" applyFont="1" applyFill="1" applyBorder="1" applyAlignment="1">
      <alignment horizontal="center"/>
    </xf>
    <xf numFmtId="0" fontId="34" fillId="16" borderId="115" xfId="2" applyFont="1" applyFill="1" applyBorder="1" applyAlignment="1">
      <alignment horizontal="center"/>
    </xf>
    <xf numFmtId="0" fontId="33" fillId="16" borderId="111" xfId="2" applyFont="1" applyFill="1" applyBorder="1" applyAlignment="1">
      <alignment horizontal="center"/>
    </xf>
    <xf numFmtId="0" fontId="34" fillId="16" borderId="103" xfId="2" applyFont="1" applyFill="1" applyBorder="1" applyAlignment="1">
      <alignment horizontal="center"/>
    </xf>
  </cellXfs>
  <cellStyles count="3">
    <cellStyle name="Lien hypertexte" xfId="1" builtinId="8"/>
    <cellStyle name="Normal" xfId="0" builtinId="0"/>
    <cellStyle name="Normal 2" xfId="2" xr:uid="{91F6789A-E425-4398-849F-DFFC2F9CA915}"/>
  </cellStyles>
  <dxfs count="1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png"/><Relationship Id="rId1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711720</xdr:colOff>
      <xdr:row>11</xdr:row>
      <xdr:rowOff>121320</xdr:rowOff>
    </xdr:from>
    <xdr:to>
      <xdr:col>35</xdr:col>
      <xdr:colOff>461160</xdr:colOff>
      <xdr:row>11</xdr:row>
      <xdr:rowOff>467280</xdr:rowOff>
    </xdr:to>
    <xdr:sp macro="" textlink="">
      <xdr:nvSpPr>
        <xdr:cNvPr id="2" name="Virage 8">
          <a:extLst>
            <a:ext uri="{FF2B5EF4-FFF2-40B4-BE49-F238E27FC236}">
              <a16:creationId xmlns:a16="http://schemas.microsoft.com/office/drawing/2014/main" id="{EA591B5D-4875-46B2-9EDB-70D9F48CCBDE}"/>
            </a:ext>
          </a:extLst>
        </xdr:cNvPr>
        <xdr:cNvSpPr/>
      </xdr:nvSpPr>
      <xdr:spPr>
        <a:xfrm rot="5400000">
          <a:off x="22373348" y="3262792"/>
          <a:ext cx="345960" cy="5740665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8</xdr:row>
      <xdr:rowOff>456120</xdr:rowOff>
    </xdr:from>
    <xdr:to>
      <xdr:col>21</xdr:col>
      <xdr:colOff>874440</xdr:colOff>
      <xdr:row>10</xdr:row>
      <xdr:rowOff>236879</xdr:rowOff>
    </xdr:to>
    <xdr:sp macro="" textlink="">
      <xdr:nvSpPr>
        <xdr:cNvPr id="4" name="Ligne verticale 1">
          <a:extLst>
            <a:ext uri="{FF2B5EF4-FFF2-40B4-BE49-F238E27FC236}">
              <a16:creationId xmlns:a16="http://schemas.microsoft.com/office/drawing/2014/main" id="{5103E452-E30D-41B0-801D-A5EDCA787A5A}"/>
            </a:ext>
          </a:extLst>
        </xdr:cNvPr>
        <xdr:cNvSpPr/>
      </xdr:nvSpPr>
      <xdr:spPr>
        <a:xfrm>
          <a:off x="16266840" y="5313870"/>
          <a:ext cx="0" cy="48561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18</xdr:row>
      <xdr:rowOff>0</xdr:rowOff>
    </xdr:from>
    <xdr:to>
      <xdr:col>21</xdr:col>
      <xdr:colOff>876600</xdr:colOff>
      <xdr:row>20</xdr:row>
      <xdr:rowOff>1441</xdr:rowOff>
    </xdr:to>
    <xdr:sp macro="" textlink="">
      <xdr:nvSpPr>
        <xdr:cNvPr id="5" name="Ligne verticale 2">
          <a:extLst>
            <a:ext uri="{FF2B5EF4-FFF2-40B4-BE49-F238E27FC236}">
              <a16:creationId xmlns:a16="http://schemas.microsoft.com/office/drawing/2014/main" id="{6A87D619-2F0E-44A8-9DDB-219738F6166A}"/>
            </a:ext>
          </a:extLst>
        </xdr:cNvPr>
        <xdr:cNvSpPr/>
      </xdr:nvSpPr>
      <xdr:spPr>
        <a:xfrm flipH="1">
          <a:off x="16266840" y="8543925"/>
          <a:ext cx="2160" cy="58246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1192320</xdr:colOff>
      <xdr:row>7</xdr:row>
      <xdr:rowOff>470160</xdr:rowOff>
    </xdr:from>
    <xdr:to>
      <xdr:col>17</xdr:col>
      <xdr:colOff>815760</xdr:colOff>
      <xdr:row>7</xdr:row>
      <xdr:rowOff>471240</xdr:rowOff>
    </xdr:to>
    <xdr:sp macro="" textlink="">
      <xdr:nvSpPr>
        <xdr:cNvPr id="6" name="Ligne verticale 4">
          <a:extLst>
            <a:ext uri="{FF2B5EF4-FFF2-40B4-BE49-F238E27FC236}">
              <a16:creationId xmlns:a16="http://schemas.microsoft.com/office/drawing/2014/main" id="{59CDF96F-4600-43D8-8AEB-6CFB0EC4DB3D}"/>
            </a:ext>
          </a:extLst>
        </xdr:cNvPr>
        <xdr:cNvSpPr/>
      </xdr:nvSpPr>
      <xdr:spPr>
        <a:xfrm flipH="1" flipV="1">
          <a:off x="11545995" y="4823085"/>
          <a:ext cx="8235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1194480</xdr:colOff>
      <xdr:row>11</xdr:row>
      <xdr:rowOff>408870</xdr:rowOff>
    </xdr:from>
    <xdr:to>
      <xdr:col>17</xdr:col>
      <xdr:colOff>817920</xdr:colOff>
      <xdr:row>11</xdr:row>
      <xdr:rowOff>409950</xdr:rowOff>
    </xdr:to>
    <xdr:sp macro="" textlink="">
      <xdr:nvSpPr>
        <xdr:cNvPr id="7" name="Ligne verticale 5">
          <a:extLst>
            <a:ext uri="{FF2B5EF4-FFF2-40B4-BE49-F238E27FC236}">
              <a16:creationId xmlns:a16="http://schemas.microsoft.com/office/drawing/2014/main" id="{6CA4B5DD-E6E7-42FB-8AB7-6C0A72AD73E3}"/>
            </a:ext>
          </a:extLst>
        </xdr:cNvPr>
        <xdr:cNvSpPr/>
      </xdr:nvSpPr>
      <xdr:spPr>
        <a:xfrm flipH="1" flipV="1">
          <a:off x="11548155" y="6247695"/>
          <a:ext cx="8235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17</xdr:col>
      <xdr:colOff>4320</xdr:colOff>
      <xdr:row>20</xdr:row>
      <xdr:rowOff>467640</xdr:rowOff>
    </xdr:from>
    <xdr:to>
      <xdr:col>18</xdr:col>
      <xdr:colOff>0</xdr:colOff>
      <xdr:row>20</xdr:row>
      <xdr:rowOff>468720</xdr:rowOff>
    </xdr:to>
    <xdr:sp macro="" textlink="">
      <xdr:nvSpPr>
        <xdr:cNvPr id="8" name="Ligne verticale 6">
          <a:extLst>
            <a:ext uri="{FF2B5EF4-FFF2-40B4-BE49-F238E27FC236}">
              <a16:creationId xmlns:a16="http://schemas.microsoft.com/office/drawing/2014/main" id="{43E485B7-8457-475A-BAF9-E3C53E98DEC2}"/>
            </a:ext>
          </a:extLst>
        </xdr:cNvPr>
        <xdr:cNvSpPr/>
      </xdr:nvSpPr>
      <xdr:spPr>
        <a:xfrm flipH="1" flipV="1">
          <a:off x="11558145" y="9592590"/>
          <a:ext cx="86037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1243800</xdr:colOff>
      <xdr:row>25</xdr:row>
      <xdr:rowOff>464760</xdr:rowOff>
    </xdr:from>
    <xdr:to>
      <xdr:col>18</xdr:col>
      <xdr:colOff>0</xdr:colOff>
      <xdr:row>25</xdr:row>
      <xdr:rowOff>465840</xdr:rowOff>
    </xdr:to>
    <xdr:sp macro="" textlink="">
      <xdr:nvSpPr>
        <xdr:cNvPr id="9" name="Ligne verticale 8">
          <a:extLst>
            <a:ext uri="{FF2B5EF4-FFF2-40B4-BE49-F238E27FC236}">
              <a16:creationId xmlns:a16="http://schemas.microsoft.com/office/drawing/2014/main" id="{36634F21-9C7E-49D3-ACB0-5783DC08E7A7}"/>
            </a:ext>
          </a:extLst>
        </xdr:cNvPr>
        <xdr:cNvSpPr/>
      </xdr:nvSpPr>
      <xdr:spPr>
        <a:xfrm flipH="1" flipV="1">
          <a:off x="11549850" y="11551860"/>
          <a:ext cx="8616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1233720</xdr:colOff>
      <xdr:row>29</xdr:row>
      <xdr:rowOff>440640</xdr:rowOff>
    </xdr:from>
    <xdr:to>
      <xdr:col>17</xdr:col>
      <xdr:colOff>857160</xdr:colOff>
      <xdr:row>29</xdr:row>
      <xdr:rowOff>441720</xdr:rowOff>
    </xdr:to>
    <xdr:sp macro="" textlink="">
      <xdr:nvSpPr>
        <xdr:cNvPr id="10" name="Ligne verticale 12">
          <a:extLst>
            <a:ext uri="{FF2B5EF4-FFF2-40B4-BE49-F238E27FC236}">
              <a16:creationId xmlns:a16="http://schemas.microsoft.com/office/drawing/2014/main" id="{D9FC17E6-2ABE-4264-8BBB-872CC2165142}"/>
            </a:ext>
          </a:extLst>
        </xdr:cNvPr>
        <xdr:cNvSpPr/>
      </xdr:nvSpPr>
      <xdr:spPr>
        <a:xfrm flipH="1" flipV="1">
          <a:off x="11549295" y="13013640"/>
          <a:ext cx="8616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1184400</xdr:colOff>
      <xdr:row>34</xdr:row>
      <xdr:rowOff>363960</xdr:rowOff>
    </xdr:from>
    <xdr:to>
      <xdr:col>17</xdr:col>
      <xdr:colOff>807840</xdr:colOff>
      <xdr:row>34</xdr:row>
      <xdr:rowOff>365040</xdr:rowOff>
    </xdr:to>
    <xdr:sp macro="" textlink="">
      <xdr:nvSpPr>
        <xdr:cNvPr id="11" name="Ligne verticale 9">
          <a:extLst>
            <a:ext uri="{FF2B5EF4-FFF2-40B4-BE49-F238E27FC236}">
              <a16:creationId xmlns:a16="http://schemas.microsoft.com/office/drawing/2014/main" id="{522C3A4A-C2DF-4F38-AED3-BD28F3AA31A4}"/>
            </a:ext>
          </a:extLst>
        </xdr:cNvPr>
        <xdr:cNvSpPr/>
      </xdr:nvSpPr>
      <xdr:spPr>
        <a:xfrm flipH="1" flipV="1">
          <a:off x="11538075" y="14632410"/>
          <a:ext cx="8235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1233360</xdr:colOff>
      <xdr:row>38</xdr:row>
      <xdr:rowOff>448560</xdr:rowOff>
    </xdr:from>
    <xdr:to>
      <xdr:col>17</xdr:col>
      <xdr:colOff>856800</xdr:colOff>
      <xdr:row>38</xdr:row>
      <xdr:rowOff>449640</xdr:rowOff>
    </xdr:to>
    <xdr:sp macro="" textlink="">
      <xdr:nvSpPr>
        <xdr:cNvPr id="12" name="Ligne verticale 10">
          <a:extLst>
            <a:ext uri="{FF2B5EF4-FFF2-40B4-BE49-F238E27FC236}">
              <a16:creationId xmlns:a16="http://schemas.microsoft.com/office/drawing/2014/main" id="{FBE2B210-0363-4741-83EA-E17F4C269965}"/>
            </a:ext>
          </a:extLst>
        </xdr:cNvPr>
        <xdr:cNvSpPr/>
      </xdr:nvSpPr>
      <xdr:spPr>
        <a:xfrm flipH="1" flipV="1">
          <a:off x="11558460" y="16307685"/>
          <a:ext cx="852165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678960</xdr:colOff>
      <xdr:row>17</xdr:row>
      <xdr:rowOff>8280</xdr:rowOff>
    </xdr:from>
    <xdr:to>
      <xdr:col>24</xdr:col>
      <xdr:colOff>686520</xdr:colOff>
      <xdr:row>18</xdr:row>
      <xdr:rowOff>280440</xdr:rowOff>
    </xdr:to>
    <xdr:sp macro="" textlink="">
      <xdr:nvSpPr>
        <xdr:cNvPr id="13" name="Ligne verticale 11">
          <a:extLst>
            <a:ext uri="{FF2B5EF4-FFF2-40B4-BE49-F238E27FC236}">
              <a16:creationId xmlns:a16="http://schemas.microsoft.com/office/drawing/2014/main" id="{094D3336-8586-405E-8A62-FEBF7C5617C5}"/>
            </a:ext>
          </a:extLst>
        </xdr:cNvPr>
        <xdr:cNvSpPr/>
      </xdr:nvSpPr>
      <xdr:spPr>
        <a:xfrm flipH="1" flipV="1">
          <a:off x="18157335" y="8047380"/>
          <a:ext cx="7560" cy="7769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293370</xdr:colOff>
      <xdr:row>7</xdr:row>
      <xdr:rowOff>472170</xdr:rowOff>
    </xdr:from>
    <xdr:to>
      <xdr:col>20</xdr:col>
      <xdr:colOff>795960</xdr:colOff>
      <xdr:row>7</xdr:row>
      <xdr:rowOff>476850</xdr:rowOff>
    </xdr:to>
    <xdr:sp macro="" textlink="">
      <xdr:nvSpPr>
        <xdr:cNvPr id="14" name="Ligne 1">
          <a:extLst>
            <a:ext uri="{FF2B5EF4-FFF2-40B4-BE49-F238E27FC236}">
              <a16:creationId xmlns:a16="http://schemas.microsoft.com/office/drawing/2014/main" id="{3C5FFEBE-D211-4DC5-8765-CE133E90C3B8}"/>
            </a:ext>
          </a:extLst>
        </xdr:cNvPr>
        <xdr:cNvSpPr/>
      </xdr:nvSpPr>
      <xdr:spPr>
        <a:xfrm>
          <a:off x="14590395" y="4825095"/>
          <a:ext cx="797865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10</xdr:row>
      <xdr:rowOff>0</xdr:rowOff>
    </xdr:from>
    <xdr:to>
      <xdr:col>25</xdr:col>
      <xdr:colOff>232561</xdr:colOff>
      <xdr:row>10</xdr:row>
      <xdr:rowOff>19440</xdr:rowOff>
    </xdr:to>
    <xdr:sp macro="" textlink="">
      <xdr:nvSpPr>
        <xdr:cNvPr id="15" name="Ligne 2">
          <a:extLst>
            <a:ext uri="{FF2B5EF4-FFF2-40B4-BE49-F238E27FC236}">
              <a16:creationId xmlns:a16="http://schemas.microsoft.com/office/drawing/2014/main" id="{B1BA5939-E96A-4909-B141-B7F5D64FF850}"/>
            </a:ext>
          </a:extLst>
        </xdr:cNvPr>
        <xdr:cNvSpPr/>
      </xdr:nvSpPr>
      <xdr:spPr>
        <a:xfrm flipV="1">
          <a:off x="16266840" y="5562600"/>
          <a:ext cx="2644245" cy="194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18</xdr:row>
      <xdr:rowOff>331920</xdr:rowOff>
    </xdr:from>
    <xdr:to>
      <xdr:col>25</xdr:col>
      <xdr:colOff>223201</xdr:colOff>
      <xdr:row>18</xdr:row>
      <xdr:rowOff>365040</xdr:rowOff>
    </xdr:to>
    <xdr:sp macro="" textlink="">
      <xdr:nvSpPr>
        <xdr:cNvPr id="16" name="Ligne 3">
          <a:extLst>
            <a:ext uri="{FF2B5EF4-FFF2-40B4-BE49-F238E27FC236}">
              <a16:creationId xmlns:a16="http://schemas.microsoft.com/office/drawing/2014/main" id="{9B02C5E4-D359-40E2-8BAA-DB33582F70B5}"/>
            </a:ext>
          </a:extLst>
        </xdr:cNvPr>
        <xdr:cNvSpPr/>
      </xdr:nvSpPr>
      <xdr:spPr>
        <a:xfrm>
          <a:off x="16266840" y="8875845"/>
          <a:ext cx="2634885" cy="331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696240</xdr:colOff>
      <xdr:row>10</xdr:row>
      <xdr:rowOff>24480</xdr:rowOff>
    </xdr:from>
    <xdr:to>
      <xdr:col>24</xdr:col>
      <xdr:colOff>696240</xdr:colOff>
      <xdr:row>11</xdr:row>
      <xdr:rowOff>401041</xdr:rowOff>
    </xdr:to>
    <xdr:sp macro="" textlink="">
      <xdr:nvSpPr>
        <xdr:cNvPr id="17" name="Ligne verticale 13">
          <a:extLst>
            <a:ext uri="{FF2B5EF4-FFF2-40B4-BE49-F238E27FC236}">
              <a16:creationId xmlns:a16="http://schemas.microsoft.com/office/drawing/2014/main" id="{8A20F3CA-5D71-4D55-AEA3-46CD915AB1B9}"/>
            </a:ext>
          </a:extLst>
        </xdr:cNvPr>
        <xdr:cNvSpPr/>
      </xdr:nvSpPr>
      <xdr:spPr>
        <a:xfrm>
          <a:off x="18174615" y="5587080"/>
          <a:ext cx="0" cy="6527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704850</xdr:colOff>
      <xdr:row>11</xdr:row>
      <xdr:rowOff>38100</xdr:rowOff>
    </xdr:from>
    <xdr:to>
      <xdr:col>26</xdr:col>
      <xdr:colOff>704850</xdr:colOff>
      <xdr:row>17</xdr:row>
      <xdr:rowOff>251113</xdr:rowOff>
    </xdr:to>
    <xdr:sp macro="" textlink="">
      <xdr:nvSpPr>
        <xdr:cNvPr id="18" name="Ligne verticale 14">
          <a:extLst>
            <a:ext uri="{FF2B5EF4-FFF2-40B4-BE49-F238E27FC236}">
              <a16:creationId xmlns:a16="http://schemas.microsoft.com/office/drawing/2014/main" id="{9170D967-9FE4-447F-AB47-7959FB64C948}"/>
            </a:ext>
          </a:extLst>
        </xdr:cNvPr>
        <xdr:cNvSpPr/>
      </xdr:nvSpPr>
      <xdr:spPr>
        <a:xfrm flipH="1">
          <a:off x="19669125" y="5876925"/>
          <a:ext cx="0" cy="263842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33</xdr:col>
      <xdr:colOff>584640</xdr:colOff>
      <xdr:row>11</xdr:row>
      <xdr:rowOff>185040</xdr:rowOff>
    </xdr:from>
    <xdr:to>
      <xdr:col>33</xdr:col>
      <xdr:colOff>619920</xdr:colOff>
      <xdr:row>17</xdr:row>
      <xdr:rowOff>269503</xdr:rowOff>
    </xdr:to>
    <xdr:sp macro="" textlink="">
      <xdr:nvSpPr>
        <xdr:cNvPr id="19" name="Ligne verticale 15">
          <a:extLst>
            <a:ext uri="{FF2B5EF4-FFF2-40B4-BE49-F238E27FC236}">
              <a16:creationId xmlns:a16="http://schemas.microsoft.com/office/drawing/2014/main" id="{7C66A95A-C11C-4990-9D92-7B99246C380D}"/>
            </a:ext>
          </a:extLst>
        </xdr:cNvPr>
        <xdr:cNvSpPr/>
      </xdr:nvSpPr>
      <xdr:spPr>
        <a:xfrm>
          <a:off x="24073290" y="6023865"/>
          <a:ext cx="35280" cy="250987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232560</xdr:colOff>
      <xdr:row>12</xdr:row>
      <xdr:rowOff>420840</xdr:rowOff>
    </xdr:from>
    <xdr:to>
      <xdr:col>31</xdr:col>
      <xdr:colOff>40319</xdr:colOff>
      <xdr:row>12</xdr:row>
      <xdr:rowOff>431640</xdr:rowOff>
    </xdr:to>
    <xdr:sp macro="" textlink="">
      <xdr:nvSpPr>
        <xdr:cNvPr id="20" name="Ligne 5">
          <a:extLst>
            <a:ext uri="{FF2B5EF4-FFF2-40B4-BE49-F238E27FC236}">
              <a16:creationId xmlns:a16="http://schemas.microsoft.com/office/drawing/2014/main" id="{7C819DB0-F6A1-46D8-AFB4-6F3F32394613}"/>
            </a:ext>
          </a:extLst>
        </xdr:cNvPr>
        <xdr:cNvSpPr/>
      </xdr:nvSpPr>
      <xdr:spPr>
        <a:xfrm>
          <a:off x="19196835" y="6764490"/>
          <a:ext cx="2893860" cy="1080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35</xdr:col>
      <xdr:colOff>852480</xdr:colOff>
      <xdr:row>16</xdr:row>
      <xdr:rowOff>494280</xdr:rowOff>
    </xdr:from>
    <xdr:to>
      <xdr:col>35</xdr:col>
      <xdr:colOff>883800</xdr:colOff>
      <xdr:row>29</xdr:row>
      <xdr:rowOff>319350</xdr:rowOff>
    </xdr:to>
    <xdr:sp macro="" textlink="">
      <xdr:nvSpPr>
        <xdr:cNvPr id="21" name="Ligne verticale 40">
          <a:extLst>
            <a:ext uri="{FF2B5EF4-FFF2-40B4-BE49-F238E27FC236}">
              <a16:creationId xmlns:a16="http://schemas.microsoft.com/office/drawing/2014/main" id="{05BAF2F8-81D4-41EF-A21E-CF0776047F28}"/>
            </a:ext>
          </a:extLst>
        </xdr:cNvPr>
        <xdr:cNvSpPr/>
      </xdr:nvSpPr>
      <xdr:spPr>
        <a:xfrm>
          <a:off x="25807980" y="8028555"/>
          <a:ext cx="31320" cy="486379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35</xdr:col>
      <xdr:colOff>318655</xdr:colOff>
      <xdr:row>20</xdr:row>
      <xdr:rowOff>159109</xdr:rowOff>
    </xdr:from>
    <xdr:to>
      <xdr:col>37</xdr:col>
      <xdr:colOff>10392</xdr:colOff>
      <xdr:row>25</xdr:row>
      <xdr:rowOff>263235</xdr:rowOff>
    </xdr:to>
    <xdr:pic>
      <xdr:nvPicPr>
        <xdr:cNvPr id="22" name="Image 31" descr="Une image contenant tasse, jaune, vaisselle, calice&#10;&#10;Description générée automatiquement">
          <a:extLst>
            <a:ext uri="{FF2B5EF4-FFF2-40B4-BE49-F238E27FC236}">
              <a16:creationId xmlns:a16="http://schemas.microsoft.com/office/drawing/2014/main" id="{24302519-08E1-4F38-AF8E-CF265A318B6A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16259" r="14463"/>
        <a:stretch/>
      </xdr:blipFill>
      <xdr:spPr>
        <a:xfrm>
          <a:off x="25274155" y="9284059"/>
          <a:ext cx="1320512" cy="206627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18</xdr:col>
      <xdr:colOff>1610873</xdr:colOff>
      <xdr:row>3</xdr:row>
      <xdr:rowOff>17947</xdr:rowOff>
    </xdr:from>
    <xdr:to>
      <xdr:col>21</xdr:col>
      <xdr:colOff>346363</xdr:colOff>
      <xdr:row>3</xdr:row>
      <xdr:rowOff>346365</xdr:rowOff>
    </xdr:to>
    <xdr:sp macro="" textlink="">
      <xdr:nvSpPr>
        <xdr:cNvPr id="23" name="ZoneTexte 1">
          <a:extLst>
            <a:ext uri="{FF2B5EF4-FFF2-40B4-BE49-F238E27FC236}">
              <a16:creationId xmlns:a16="http://schemas.microsoft.com/office/drawing/2014/main" id="{BF7FCC42-4286-48E9-99D7-91286F143076}"/>
            </a:ext>
          </a:extLst>
        </xdr:cNvPr>
        <xdr:cNvSpPr/>
      </xdr:nvSpPr>
      <xdr:spPr>
        <a:xfrm>
          <a:off x="13993373" y="2234674"/>
          <a:ext cx="1471763" cy="328418"/>
        </a:xfrm>
        <a:prstGeom prst="rect">
          <a:avLst/>
        </a:prstGeom>
        <a:solidFill>
          <a:sysClr val="window" lastClr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800" b="1" strike="noStrike" spc="-1">
              <a:latin typeface="Calibri"/>
            </a:rPr>
            <a:t>Gagnants (1)</a:t>
          </a:r>
          <a:endParaRPr lang="fr-FR" sz="1800" b="0" strike="noStrike" spc="-1">
            <a:latin typeface="Times New Roman"/>
          </a:endParaRPr>
        </a:p>
      </xdr:txBody>
    </xdr:sp>
    <xdr:clientData/>
  </xdr:twoCellAnchor>
  <xdr:twoCellAnchor editAs="oneCell">
    <xdr:from>
      <xdr:col>20</xdr:col>
      <xdr:colOff>12960</xdr:colOff>
      <xdr:row>12</xdr:row>
      <xdr:rowOff>7740</xdr:rowOff>
    </xdr:from>
    <xdr:to>
      <xdr:col>21</xdr:col>
      <xdr:colOff>959</xdr:colOff>
      <xdr:row>12</xdr:row>
      <xdr:rowOff>12420</xdr:rowOff>
    </xdr:to>
    <xdr:sp macro="" textlink="">
      <xdr:nvSpPr>
        <xdr:cNvPr id="24" name="Ligne 6">
          <a:extLst>
            <a:ext uri="{FF2B5EF4-FFF2-40B4-BE49-F238E27FC236}">
              <a16:creationId xmlns:a16="http://schemas.microsoft.com/office/drawing/2014/main" id="{5CEE6181-DB15-4E13-BF93-A497A4977080}"/>
            </a:ext>
          </a:extLst>
        </xdr:cNvPr>
        <xdr:cNvSpPr/>
      </xdr:nvSpPr>
      <xdr:spPr>
        <a:xfrm>
          <a:off x="14605260" y="6351390"/>
          <a:ext cx="78810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12960</xdr:colOff>
      <xdr:row>16</xdr:row>
      <xdr:rowOff>486810</xdr:rowOff>
    </xdr:from>
    <xdr:to>
      <xdr:col>21</xdr:col>
      <xdr:colOff>959</xdr:colOff>
      <xdr:row>16</xdr:row>
      <xdr:rowOff>491490</xdr:rowOff>
    </xdr:to>
    <xdr:sp macro="" textlink="">
      <xdr:nvSpPr>
        <xdr:cNvPr id="25" name="Ligne 7">
          <a:extLst>
            <a:ext uri="{FF2B5EF4-FFF2-40B4-BE49-F238E27FC236}">
              <a16:creationId xmlns:a16="http://schemas.microsoft.com/office/drawing/2014/main" id="{3BA6136C-8FC3-4C06-BC5A-38CF803CE036}"/>
            </a:ext>
          </a:extLst>
        </xdr:cNvPr>
        <xdr:cNvSpPr/>
      </xdr:nvSpPr>
      <xdr:spPr>
        <a:xfrm>
          <a:off x="14605260" y="8021085"/>
          <a:ext cx="78810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23070</xdr:colOff>
      <xdr:row>20</xdr:row>
      <xdr:rowOff>465990</xdr:rowOff>
    </xdr:from>
    <xdr:to>
      <xdr:col>21</xdr:col>
      <xdr:colOff>30359</xdr:colOff>
      <xdr:row>20</xdr:row>
      <xdr:rowOff>470670</xdr:rowOff>
    </xdr:to>
    <xdr:sp macro="" textlink="">
      <xdr:nvSpPr>
        <xdr:cNvPr id="26" name="Ligne 8">
          <a:extLst>
            <a:ext uri="{FF2B5EF4-FFF2-40B4-BE49-F238E27FC236}">
              <a16:creationId xmlns:a16="http://schemas.microsoft.com/office/drawing/2014/main" id="{FF2E7186-345A-4A4F-94C7-319A1C0F0852}"/>
            </a:ext>
          </a:extLst>
        </xdr:cNvPr>
        <xdr:cNvSpPr/>
      </xdr:nvSpPr>
      <xdr:spPr>
        <a:xfrm>
          <a:off x="14615370" y="9590940"/>
          <a:ext cx="80739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21600</xdr:colOff>
      <xdr:row>2</xdr:row>
      <xdr:rowOff>97920</xdr:rowOff>
    </xdr:from>
    <xdr:to>
      <xdr:col>3</xdr:col>
      <xdr:colOff>216000</xdr:colOff>
      <xdr:row>2</xdr:row>
      <xdr:rowOff>1762560</xdr:rowOff>
    </xdr:to>
    <xdr:pic>
      <xdr:nvPicPr>
        <xdr:cNvPr id="27" name="Image 61" descr="Une image contenant cercle, Police, logo, symbole&#10;&#10;Description générée automatiquement">
          <a:extLst>
            <a:ext uri="{FF2B5EF4-FFF2-40B4-BE49-F238E27FC236}">
              <a16:creationId xmlns:a16="http://schemas.microsoft.com/office/drawing/2014/main" id="{402778CF-C745-4523-B453-8EB636357351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748964" y="513556"/>
          <a:ext cx="1562536" cy="1664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25</xdr:col>
      <xdr:colOff>302040</xdr:colOff>
      <xdr:row>12</xdr:row>
      <xdr:rowOff>327600</xdr:rowOff>
    </xdr:from>
    <xdr:to>
      <xdr:col>26</xdr:col>
      <xdr:colOff>173520</xdr:colOff>
      <xdr:row>15</xdr:row>
      <xdr:rowOff>279552</xdr:rowOff>
    </xdr:to>
    <xdr:sp macro="" textlink="">
      <xdr:nvSpPr>
        <xdr:cNvPr id="28" name="Forme 2">
          <a:extLst>
            <a:ext uri="{FF2B5EF4-FFF2-40B4-BE49-F238E27FC236}">
              <a16:creationId xmlns:a16="http://schemas.microsoft.com/office/drawing/2014/main" id="{A1691A88-4DE9-4CD0-B124-A054614CC52A}"/>
            </a:ext>
          </a:extLst>
        </xdr:cNvPr>
        <xdr:cNvSpPr/>
      </xdr:nvSpPr>
      <xdr:spPr>
        <a:xfrm>
          <a:off x="18961515" y="6671250"/>
          <a:ext cx="176280" cy="1055985"/>
        </a:xfrm>
        <a:custGeom>
          <a:avLst/>
          <a:gdLst>
            <a:gd name="textAreaLeft" fmla="*/ 0 w 177120"/>
            <a:gd name="textAreaRight" fmla="*/ 124560 w 17712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29</xdr:col>
      <xdr:colOff>573120</xdr:colOff>
      <xdr:row>13</xdr:row>
      <xdr:rowOff>3600</xdr:rowOff>
    </xdr:from>
    <xdr:to>
      <xdr:col>29</xdr:col>
      <xdr:colOff>588600</xdr:colOff>
      <xdr:row>14</xdr:row>
      <xdr:rowOff>118669</xdr:rowOff>
    </xdr:to>
    <xdr:sp macro="" textlink="">
      <xdr:nvSpPr>
        <xdr:cNvPr id="29" name="Ligne verticale 18">
          <a:extLst>
            <a:ext uri="{FF2B5EF4-FFF2-40B4-BE49-F238E27FC236}">
              <a16:creationId xmlns:a16="http://schemas.microsoft.com/office/drawing/2014/main" id="{3FC2FDAA-46E6-4E48-AADE-83F1CF9597E9}"/>
            </a:ext>
          </a:extLst>
        </xdr:cNvPr>
        <xdr:cNvSpPr/>
      </xdr:nvSpPr>
      <xdr:spPr>
        <a:xfrm>
          <a:off x="21232845" y="6852075"/>
          <a:ext cx="15480" cy="39216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711720</xdr:colOff>
      <xdr:row>34</xdr:row>
      <xdr:rowOff>482760</xdr:rowOff>
    </xdr:from>
    <xdr:to>
      <xdr:col>35</xdr:col>
      <xdr:colOff>430200</xdr:colOff>
      <xdr:row>35</xdr:row>
      <xdr:rowOff>351360</xdr:rowOff>
    </xdr:to>
    <xdr:sp macro="" textlink="">
      <xdr:nvSpPr>
        <xdr:cNvPr id="30" name="Virage 1">
          <a:extLst>
            <a:ext uri="{FF2B5EF4-FFF2-40B4-BE49-F238E27FC236}">
              <a16:creationId xmlns:a16="http://schemas.microsoft.com/office/drawing/2014/main" id="{4E81F51A-AFD9-400A-BBF4-E46836B05D19}"/>
            </a:ext>
          </a:extLst>
        </xdr:cNvPr>
        <xdr:cNvSpPr/>
      </xdr:nvSpPr>
      <xdr:spPr>
        <a:xfrm rot="5400000" flipH="1">
          <a:off x="22344135" y="12083070"/>
          <a:ext cx="373425" cy="5709705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27</xdr:row>
      <xdr:rowOff>43200</xdr:rowOff>
    </xdr:from>
    <xdr:to>
      <xdr:col>21</xdr:col>
      <xdr:colOff>874440</xdr:colOff>
      <xdr:row>29</xdr:row>
      <xdr:rowOff>51119</xdr:rowOff>
    </xdr:to>
    <xdr:sp macro="" textlink="">
      <xdr:nvSpPr>
        <xdr:cNvPr id="31" name="Ligne verticale 16">
          <a:extLst>
            <a:ext uri="{FF2B5EF4-FFF2-40B4-BE49-F238E27FC236}">
              <a16:creationId xmlns:a16="http://schemas.microsoft.com/office/drawing/2014/main" id="{8D3C1C18-E181-43D0-9715-16B5EF2AD890}"/>
            </a:ext>
          </a:extLst>
        </xdr:cNvPr>
        <xdr:cNvSpPr/>
      </xdr:nvSpPr>
      <xdr:spPr>
        <a:xfrm>
          <a:off x="16266840" y="12139950"/>
          <a:ext cx="0" cy="48417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36</xdr:row>
      <xdr:rowOff>108000</xdr:rowOff>
    </xdr:from>
    <xdr:to>
      <xdr:col>21</xdr:col>
      <xdr:colOff>874440</xdr:colOff>
      <xdr:row>38</xdr:row>
      <xdr:rowOff>19080</xdr:rowOff>
    </xdr:to>
    <xdr:sp macro="" textlink="">
      <xdr:nvSpPr>
        <xdr:cNvPr id="32" name="Ligne verticale 19">
          <a:extLst>
            <a:ext uri="{FF2B5EF4-FFF2-40B4-BE49-F238E27FC236}">
              <a16:creationId xmlns:a16="http://schemas.microsoft.com/office/drawing/2014/main" id="{78B31E45-7AD5-4B2F-836B-28F9DE81EEE3}"/>
            </a:ext>
          </a:extLst>
        </xdr:cNvPr>
        <xdr:cNvSpPr/>
      </xdr:nvSpPr>
      <xdr:spPr>
        <a:xfrm>
          <a:off x="16266840" y="15386100"/>
          <a:ext cx="0" cy="49210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696240</xdr:colOff>
      <xdr:row>35</xdr:row>
      <xdr:rowOff>4680</xdr:rowOff>
    </xdr:from>
    <xdr:to>
      <xdr:col>24</xdr:col>
      <xdr:colOff>717120</xdr:colOff>
      <xdr:row>36</xdr:row>
      <xdr:rowOff>295920</xdr:rowOff>
    </xdr:to>
    <xdr:sp macro="" textlink="">
      <xdr:nvSpPr>
        <xdr:cNvPr id="33" name="Ligne verticale 20">
          <a:extLst>
            <a:ext uri="{FF2B5EF4-FFF2-40B4-BE49-F238E27FC236}">
              <a16:creationId xmlns:a16="http://schemas.microsoft.com/office/drawing/2014/main" id="{BD810CCC-44E3-4756-BA40-527C93DE8935}"/>
            </a:ext>
          </a:extLst>
        </xdr:cNvPr>
        <xdr:cNvSpPr/>
      </xdr:nvSpPr>
      <xdr:spPr>
        <a:xfrm flipH="1" flipV="1">
          <a:off x="18174615" y="14777955"/>
          <a:ext cx="20880" cy="79606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270720</xdr:colOff>
      <xdr:row>26</xdr:row>
      <xdr:rowOff>25200</xdr:rowOff>
    </xdr:from>
    <xdr:to>
      <xdr:col>20</xdr:col>
      <xdr:colOff>792360</xdr:colOff>
      <xdr:row>26</xdr:row>
      <xdr:rowOff>29880</xdr:rowOff>
    </xdr:to>
    <xdr:sp macro="" textlink="">
      <xdr:nvSpPr>
        <xdr:cNvPr id="34" name="Ligne 4">
          <a:extLst>
            <a:ext uri="{FF2B5EF4-FFF2-40B4-BE49-F238E27FC236}">
              <a16:creationId xmlns:a16="http://schemas.microsoft.com/office/drawing/2014/main" id="{1CCA49A2-C509-49E8-B1FB-27F9901DA09C}"/>
            </a:ext>
          </a:extLst>
        </xdr:cNvPr>
        <xdr:cNvSpPr/>
      </xdr:nvSpPr>
      <xdr:spPr>
        <a:xfrm>
          <a:off x="14577270" y="11617125"/>
          <a:ext cx="80739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28</xdr:row>
      <xdr:rowOff>37080</xdr:rowOff>
    </xdr:from>
    <xdr:to>
      <xdr:col>25</xdr:col>
      <xdr:colOff>271081</xdr:colOff>
      <xdr:row>28</xdr:row>
      <xdr:rowOff>39600</xdr:rowOff>
    </xdr:to>
    <xdr:sp macro="" textlink="">
      <xdr:nvSpPr>
        <xdr:cNvPr id="35" name="Ligne 9">
          <a:extLst>
            <a:ext uri="{FF2B5EF4-FFF2-40B4-BE49-F238E27FC236}">
              <a16:creationId xmlns:a16="http://schemas.microsoft.com/office/drawing/2014/main" id="{A549E88C-BB01-4911-980A-451C661B2DB4}"/>
            </a:ext>
          </a:extLst>
        </xdr:cNvPr>
        <xdr:cNvSpPr/>
      </xdr:nvSpPr>
      <xdr:spPr>
        <a:xfrm>
          <a:off x="16266840" y="12333855"/>
          <a:ext cx="2682765" cy="25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36</xdr:row>
      <xdr:rowOff>349560</xdr:rowOff>
    </xdr:from>
    <xdr:to>
      <xdr:col>26</xdr:col>
      <xdr:colOff>19441</xdr:colOff>
      <xdr:row>37</xdr:row>
      <xdr:rowOff>1320</xdr:rowOff>
    </xdr:to>
    <xdr:sp macro="" textlink="">
      <xdr:nvSpPr>
        <xdr:cNvPr id="36" name="Ligne 10">
          <a:extLst>
            <a:ext uri="{FF2B5EF4-FFF2-40B4-BE49-F238E27FC236}">
              <a16:creationId xmlns:a16="http://schemas.microsoft.com/office/drawing/2014/main" id="{3A909908-3240-4C6F-8686-108C24A0D6C7}"/>
            </a:ext>
          </a:extLst>
        </xdr:cNvPr>
        <xdr:cNvSpPr/>
      </xdr:nvSpPr>
      <xdr:spPr>
        <a:xfrm>
          <a:off x="16266840" y="15627660"/>
          <a:ext cx="2716875" cy="3276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696240</xdr:colOff>
      <xdr:row>28</xdr:row>
      <xdr:rowOff>42120</xdr:rowOff>
    </xdr:from>
    <xdr:to>
      <xdr:col>24</xdr:col>
      <xdr:colOff>696240</xdr:colOff>
      <xdr:row>29</xdr:row>
      <xdr:rowOff>418680</xdr:rowOff>
    </xdr:to>
    <xdr:sp macro="" textlink="">
      <xdr:nvSpPr>
        <xdr:cNvPr id="37" name="Ligne verticale 21">
          <a:extLst>
            <a:ext uri="{FF2B5EF4-FFF2-40B4-BE49-F238E27FC236}">
              <a16:creationId xmlns:a16="http://schemas.microsoft.com/office/drawing/2014/main" id="{734E8414-E591-456A-B776-237A6CCA01AA}"/>
            </a:ext>
          </a:extLst>
        </xdr:cNvPr>
        <xdr:cNvSpPr/>
      </xdr:nvSpPr>
      <xdr:spPr>
        <a:xfrm>
          <a:off x="18174615" y="12338895"/>
          <a:ext cx="0" cy="6527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33</xdr:col>
      <xdr:colOff>584640</xdr:colOff>
      <xdr:row>29</xdr:row>
      <xdr:rowOff>18720</xdr:rowOff>
    </xdr:from>
    <xdr:to>
      <xdr:col>33</xdr:col>
      <xdr:colOff>635400</xdr:colOff>
      <xdr:row>34</xdr:row>
      <xdr:rowOff>433331</xdr:rowOff>
    </xdr:to>
    <xdr:sp macro="" textlink="">
      <xdr:nvSpPr>
        <xdr:cNvPr id="38" name="Ligne verticale 23">
          <a:extLst>
            <a:ext uri="{FF2B5EF4-FFF2-40B4-BE49-F238E27FC236}">
              <a16:creationId xmlns:a16="http://schemas.microsoft.com/office/drawing/2014/main" id="{D8F04908-99B1-4E02-8E94-D6BD362F12F6}"/>
            </a:ext>
          </a:extLst>
        </xdr:cNvPr>
        <xdr:cNvSpPr/>
      </xdr:nvSpPr>
      <xdr:spPr>
        <a:xfrm flipH="1" flipV="1">
          <a:off x="24073290" y="12591720"/>
          <a:ext cx="50760" cy="233779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217080</xdr:colOff>
      <xdr:row>30</xdr:row>
      <xdr:rowOff>420840</xdr:rowOff>
    </xdr:from>
    <xdr:to>
      <xdr:col>31</xdr:col>
      <xdr:colOff>40319</xdr:colOff>
      <xdr:row>30</xdr:row>
      <xdr:rowOff>432360</xdr:rowOff>
    </xdr:to>
    <xdr:sp macro="" textlink="">
      <xdr:nvSpPr>
        <xdr:cNvPr id="39" name="Ligne 11">
          <a:extLst>
            <a:ext uri="{FF2B5EF4-FFF2-40B4-BE49-F238E27FC236}">
              <a16:creationId xmlns:a16="http://schemas.microsoft.com/office/drawing/2014/main" id="{25310987-791A-4AAC-819A-25089EE703B6}"/>
            </a:ext>
          </a:extLst>
        </xdr:cNvPr>
        <xdr:cNvSpPr/>
      </xdr:nvSpPr>
      <xdr:spPr>
        <a:xfrm flipV="1">
          <a:off x="19181355" y="13498665"/>
          <a:ext cx="2909340" cy="115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18468</xdr:colOff>
      <xdr:row>29</xdr:row>
      <xdr:rowOff>506825</xdr:rowOff>
    </xdr:from>
    <xdr:to>
      <xdr:col>21</xdr:col>
      <xdr:colOff>12915</xdr:colOff>
      <xdr:row>30</xdr:row>
      <xdr:rowOff>5526</xdr:rowOff>
    </xdr:to>
    <xdr:sp macro="" textlink="">
      <xdr:nvSpPr>
        <xdr:cNvPr id="41" name="Ligne 12">
          <a:extLst>
            <a:ext uri="{FF2B5EF4-FFF2-40B4-BE49-F238E27FC236}">
              <a16:creationId xmlns:a16="http://schemas.microsoft.com/office/drawing/2014/main" id="{C514AD87-1190-4BF2-BA2F-CB4F6C8FEE8E}"/>
            </a:ext>
          </a:extLst>
        </xdr:cNvPr>
        <xdr:cNvSpPr/>
      </xdr:nvSpPr>
      <xdr:spPr>
        <a:xfrm>
          <a:off x="14610768" y="13079825"/>
          <a:ext cx="794548" cy="3526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295560</xdr:colOff>
      <xdr:row>34</xdr:row>
      <xdr:rowOff>333000</xdr:rowOff>
    </xdr:from>
    <xdr:to>
      <xdr:col>21</xdr:col>
      <xdr:colOff>793</xdr:colOff>
      <xdr:row>34</xdr:row>
      <xdr:rowOff>337680</xdr:rowOff>
    </xdr:to>
    <xdr:sp macro="" textlink="">
      <xdr:nvSpPr>
        <xdr:cNvPr id="42" name="Ligne 13">
          <a:extLst>
            <a:ext uri="{FF2B5EF4-FFF2-40B4-BE49-F238E27FC236}">
              <a16:creationId xmlns:a16="http://schemas.microsoft.com/office/drawing/2014/main" id="{870E84E8-20C0-4824-90C7-72718305023D}"/>
            </a:ext>
          </a:extLst>
        </xdr:cNvPr>
        <xdr:cNvSpPr/>
      </xdr:nvSpPr>
      <xdr:spPr>
        <a:xfrm>
          <a:off x="14592585" y="14601450"/>
          <a:ext cx="800609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294120</xdr:colOff>
      <xdr:row>39</xdr:row>
      <xdr:rowOff>16560</xdr:rowOff>
    </xdr:from>
    <xdr:to>
      <xdr:col>21</xdr:col>
      <xdr:colOff>73</xdr:colOff>
      <xdr:row>39</xdr:row>
      <xdr:rowOff>21240</xdr:rowOff>
    </xdr:to>
    <xdr:sp macro="" textlink="">
      <xdr:nvSpPr>
        <xdr:cNvPr id="43" name="Ligne 14">
          <a:extLst>
            <a:ext uri="{FF2B5EF4-FFF2-40B4-BE49-F238E27FC236}">
              <a16:creationId xmlns:a16="http://schemas.microsoft.com/office/drawing/2014/main" id="{3292CE5B-C327-4159-A4B9-F3299AC4DD0B}"/>
            </a:ext>
          </a:extLst>
        </xdr:cNvPr>
        <xdr:cNvSpPr/>
      </xdr:nvSpPr>
      <xdr:spPr>
        <a:xfrm>
          <a:off x="14591145" y="16380510"/>
          <a:ext cx="801329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25</xdr:col>
      <xdr:colOff>278280</xdr:colOff>
      <xdr:row>30</xdr:row>
      <xdr:rowOff>185400</xdr:rowOff>
    </xdr:from>
    <xdr:to>
      <xdr:col>26</xdr:col>
      <xdr:colOff>150480</xdr:colOff>
      <xdr:row>33</xdr:row>
      <xdr:rowOff>137352</xdr:rowOff>
    </xdr:to>
    <xdr:sp macro="" textlink="">
      <xdr:nvSpPr>
        <xdr:cNvPr id="44" name="Forme 1">
          <a:extLst>
            <a:ext uri="{FF2B5EF4-FFF2-40B4-BE49-F238E27FC236}">
              <a16:creationId xmlns:a16="http://schemas.microsoft.com/office/drawing/2014/main" id="{8004AAD8-8FEC-44E6-A16E-A346147D1D8B}"/>
            </a:ext>
          </a:extLst>
        </xdr:cNvPr>
        <xdr:cNvSpPr/>
      </xdr:nvSpPr>
      <xdr:spPr>
        <a:xfrm>
          <a:off x="18956805" y="13263225"/>
          <a:ext cx="157950" cy="1055985"/>
        </a:xfrm>
        <a:custGeom>
          <a:avLst/>
          <a:gdLst>
            <a:gd name="textAreaLeft" fmla="*/ 0 w 177840"/>
            <a:gd name="textAreaRight" fmla="*/ 124920 w 17784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29</xdr:col>
      <xdr:colOff>588600</xdr:colOff>
      <xdr:row>30</xdr:row>
      <xdr:rowOff>484920</xdr:rowOff>
    </xdr:from>
    <xdr:to>
      <xdr:col>29</xdr:col>
      <xdr:colOff>604080</xdr:colOff>
      <xdr:row>32</xdr:row>
      <xdr:rowOff>96480</xdr:rowOff>
    </xdr:to>
    <xdr:sp macro="" textlink="">
      <xdr:nvSpPr>
        <xdr:cNvPr id="45" name="Ligne verticale 24">
          <a:extLst>
            <a:ext uri="{FF2B5EF4-FFF2-40B4-BE49-F238E27FC236}">
              <a16:creationId xmlns:a16="http://schemas.microsoft.com/office/drawing/2014/main" id="{EE0DE271-0A03-4485-B300-B86247FE7C06}"/>
            </a:ext>
          </a:extLst>
        </xdr:cNvPr>
        <xdr:cNvSpPr/>
      </xdr:nvSpPr>
      <xdr:spPr>
        <a:xfrm>
          <a:off x="21248325" y="13562745"/>
          <a:ext cx="15480" cy="39261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402480</xdr:colOff>
      <xdr:row>11</xdr:row>
      <xdr:rowOff>158040</xdr:rowOff>
    </xdr:from>
    <xdr:to>
      <xdr:col>11</xdr:col>
      <xdr:colOff>347400</xdr:colOff>
      <xdr:row>11</xdr:row>
      <xdr:rowOff>450360</xdr:rowOff>
    </xdr:to>
    <xdr:sp macro="" textlink="">
      <xdr:nvSpPr>
        <xdr:cNvPr id="46" name="Virage 2">
          <a:extLst>
            <a:ext uri="{FF2B5EF4-FFF2-40B4-BE49-F238E27FC236}">
              <a16:creationId xmlns:a16="http://schemas.microsoft.com/office/drawing/2014/main" id="{3838F741-8950-41EE-A8FE-981983A3BA8F}"/>
            </a:ext>
          </a:extLst>
        </xdr:cNvPr>
        <xdr:cNvSpPr/>
      </xdr:nvSpPr>
      <xdr:spPr>
        <a:xfrm rot="16200000" flipH="1">
          <a:off x="4095930" y="3046365"/>
          <a:ext cx="292320" cy="6193320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608760</xdr:colOff>
      <xdr:row>16</xdr:row>
      <xdr:rowOff>491400</xdr:rowOff>
    </xdr:from>
    <xdr:to>
      <xdr:col>13</xdr:col>
      <xdr:colOff>612360</xdr:colOff>
      <xdr:row>18</xdr:row>
      <xdr:rowOff>130680</xdr:rowOff>
    </xdr:to>
    <xdr:sp macro="" textlink="">
      <xdr:nvSpPr>
        <xdr:cNvPr id="47" name="Ligne verticale 27">
          <a:extLst>
            <a:ext uri="{FF2B5EF4-FFF2-40B4-BE49-F238E27FC236}">
              <a16:creationId xmlns:a16="http://schemas.microsoft.com/office/drawing/2014/main" id="{0D7A107D-B115-4EEF-A25E-F2DB3CDBF5C5}"/>
            </a:ext>
          </a:extLst>
        </xdr:cNvPr>
        <xdr:cNvSpPr/>
      </xdr:nvSpPr>
      <xdr:spPr>
        <a:xfrm flipV="1">
          <a:off x="9133635" y="8025675"/>
          <a:ext cx="3600" cy="64893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89280</xdr:colOff>
      <xdr:row>10</xdr:row>
      <xdr:rowOff>14400</xdr:rowOff>
    </xdr:from>
    <xdr:to>
      <xdr:col>16</xdr:col>
      <xdr:colOff>342360</xdr:colOff>
      <xdr:row>10</xdr:row>
      <xdr:rowOff>19440</xdr:rowOff>
    </xdr:to>
    <xdr:sp macro="" textlink="">
      <xdr:nvSpPr>
        <xdr:cNvPr id="48" name="Ligne 16">
          <a:extLst>
            <a:ext uri="{FF2B5EF4-FFF2-40B4-BE49-F238E27FC236}">
              <a16:creationId xmlns:a16="http://schemas.microsoft.com/office/drawing/2014/main" id="{A5C3E29A-E8C9-4218-8C08-9B2A44DC86FE}"/>
            </a:ext>
          </a:extLst>
        </xdr:cNvPr>
        <xdr:cNvSpPr/>
      </xdr:nvSpPr>
      <xdr:spPr>
        <a:xfrm flipH="1" flipV="1">
          <a:off x="8366505" y="5577000"/>
          <a:ext cx="2329530" cy="50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97200</xdr:colOff>
      <xdr:row>18</xdr:row>
      <xdr:rowOff>295920</xdr:rowOff>
    </xdr:from>
    <xdr:to>
      <xdr:col>16</xdr:col>
      <xdr:colOff>322920</xdr:colOff>
      <xdr:row>18</xdr:row>
      <xdr:rowOff>326880</xdr:rowOff>
    </xdr:to>
    <xdr:sp macro="" textlink="">
      <xdr:nvSpPr>
        <xdr:cNvPr id="49" name="Ligne 17">
          <a:extLst>
            <a:ext uri="{FF2B5EF4-FFF2-40B4-BE49-F238E27FC236}">
              <a16:creationId xmlns:a16="http://schemas.microsoft.com/office/drawing/2014/main" id="{E054EF79-0F2F-419A-B8A6-53141EF11523}"/>
            </a:ext>
          </a:extLst>
        </xdr:cNvPr>
        <xdr:cNvSpPr/>
      </xdr:nvSpPr>
      <xdr:spPr>
        <a:xfrm flipH="1">
          <a:off x="8374425" y="8839845"/>
          <a:ext cx="2302170" cy="3096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678240</xdr:colOff>
      <xdr:row>10</xdr:row>
      <xdr:rowOff>15120</xdr:rowOff>
    </xdr:from>
    <xdr:to>
      <xdr:col>13</xdr:col>
      <xdr:colOff>678240</xdr:colOff>
      <xdr:row>11</xdr:row>
      <xdr:rowOff>391681</xdr:rowOff>
    </xdr:to>
    <xdr:sp macro="" textlink="">
      <xdr:nvSpPr>
        <xdr:cNvPr id="50" name="Ligne verticale 28">
          <a:extLst>
            <a:ext uri="{FF2B5EF4-FFF2-40B4-BE49-F238E27FC236}">
              <a16:creationId xmlns:a16="http://schemas.microsoft.com/office/drawing/2014/main" id="{707E0746-AA22-407E-A6CF-62B8A452493A}"/>
            </a:ext>
          </a:extLst>
        </xdr:cNvPr>
        <xdr:cNvSpPr/>
      </xdr:nvSpPr>
      <xdr:spPr>
        <a:xfrm>
          <a:off x="9203115" y="5577720"/>
          <a:ext cx="0" cy="6527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409320</xdr:colOff>
      <xdr:row>11</xdr:row>
      <xdr:rowOff>56520</xdr:rowOff>
    </xdr:from>
    <xdr:to>
      <xdr:col>11</xdr:col>
      <xdr:colOff>426240</xdr:colOff>
      <xdr:row>17</xdr:row>
      <xdr:rowOff>90583</xdr:rowOff>
    </xdr:to>
    <xdr:sp macro="" textlink="">
      <xdr:nvSpPr>
        <xdr:cNvPr id="51" name="Ligne verticale 29">
          <a:extLst>
            <a:ext uri="{FF2B5EF4-FFF2-40B4-BE49-F238E27FC236}">
              <a16:creationId xmlns:a16="http://schemas.microsoft.com/office/drawing/2014/main" id="{059B583F-153C-4C12-A92C-D7914D27C589}"/>
            </a:ext>
          </a:extLst>
        </xdr:cNvPr>
        <xdr:cNvSpPr/>
      </xdr:nvSpPr>
      <xdr:spPr>
        <a:xfrm>
          <a:off x="7400670" y="5895345"/>
          <a:ext cx="16920" cy="245947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4</xdr:col>
      <xdr:colOff>446400</xdr:colOff>
      <xdr:row>11</xdr:row>
      <xdr:rowOff>225000</xdr:rowOff>
    </xdr:from>
    <xdr:to>
      <xdr:col>4</xdr:col>
      <xdr:colOff>453960</xdr:colOff>
      <xdr:row>17</xdr:row>
      <xdr:rowOff>275458</xdr:rowOff>
    </xdr:to>
    <xdr:sp macro="" textlink="">
      <xdr:nvSpPr>
        <xdr:cNvPr id="52" name="Ligne verticale 30">
          <a:extLst>
            <a:ext uri="{FF2B5EF4-FFF2-40B4-BE49-F238E27FC236}">
              <a16:creationId xmlns:a16="http://schemas.microsoft.com/office/drawing/2014/main" id="{D7CD8A34-C102-4547-84D9-03A22C6E64B9}"/>
            </a:ext>
          </a:extLst>
        </xdr:cNvPr>
        <xdr:cNvSpPr/>
      </xdr:nvSpPr>
      <xdr:spPr>
        <a:xfrm flipH="1">
          <a:off x="2837175" y="6063825"/>
          <a:ext cx="7560" cy="247587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7</xdr:col>
      <xdr:colOff>62280</xdr:colOff>
      <xdr:row>12</xdr:row>
      <xdr:rowOff>315720</xdr:rowOff>
    </xdr:from>
    <xdr:to>
      <xdr:col>11</xdr:col>
      <xdr:colOff>1163160</xdr:colOff>
      <xdr:row>12</xdr:row>
      <xdr:rowOff>354960</xdr:rowOff>
    </xdr:to>
    <xdr:sp macro="" textlink="">
      <xdr:nvSpPr>
        <xdr:cNvPr id="53" name="Ligne 18">
          <a:extLst>
            <a:ext uri="{FF2B5EF4-FFF2-40B4-BE49-F238E27FC236}">
              <a16:creationId xmlns:a16="http://schemas.microsoft.com/office/drawing/2014/main" id="{394198D0-288E-41FE-A74D-516BAB173FEF}"/>
            </a:ext>
          </a:extLst>
        </xdr:cNvPr>
        <xdr:cNvSpPr/>
      </xdr:nvSpPr>
      <xdr:spPr>
        <a:xfrm flipH="1">
          <a:off x="5091480" y="6659370"/>
          <a:ext cx="3063030" cy="392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1121400</xdr:colOff>
      <xdr:row>12</xdr:row>
      <xdr:rowOff>291600</xdr:rowOff>
    </xdr:from>
    <xdr:to>
      <xdr:col>12</xdr:col>
      <xdr:colOff>7449</xdr:colOff>
      <xdr:row>15</xdr:row>
      <xdr:rowOff>243552</xdr:rowOff>
    </xdr:to>
    <xdr:sp macro="" textlink="">
      <xdr:nvSpPr>
        <xdr:cNvPr id="54" name="Forme 3">
          <a:extLst>
            <a:ext uri="{FF2B5EF4-FFF2-40B4-BE49-F238E27FC236}">
              <a16:creationId xmlns:a16="http://schemas.microsoft.com/office/drawing/2014/main" id="{F82E113D-B38B-4BE0-ADD8-A75C9CB45B08}"/>
            </a:ext>
          </a:extLst>
        </xdr:cNvPr>
        <xdr:cNvSpPr/>
      </xdr:nvSpPr>
      <xdr:spPr>
        <a:xfrm flipH="1">
          <a:off x="8112750" y="6635250"/>
          <a:ext cx="171924" cy="1055985"/>
        </a:xfrm>
        <a:custGeom>
          <a:avLst/>
          <a:gdLst>
            <a:gd name="textAreaLeft" fmla="*/ -360 w 177120"/>
            <a:gd name="textAreaRight" fmla="*/ 124200 w 17712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8</xdr:col>
      <xdr:colOff>1022760</xdr:colOff>
      <xdr:row>12</xdr:row>
      <xdr:rowOff>394920</xdr:rowOff>
    </xdr:from>
    <xdr:to>
      <xdr:col>8</xdr:col>
      <xdr:colOff>1027080</xdr:colOff>
      <xdr:row>14</xdr:row>
      <xdr:rowOff>156110</xdr:rowOff>
    </xdr:to>
    <xdr:sp macro="" textlink="">
      <xdr:nvSpPr>
        <xdr:cNvPr id="55" name="Ligne verticale 31">
          <a:extLst>
            <a:ext uri="{FF2B5EF4-FFF2-40B4-BE49-F238E27FC236}">
              <a16:creationId xmlns:a16="http://schemas.microsoft.com/office/drawing/2014/main" id="{7944BEB4-F2AE-4FAB-9644-18D6F96BF323}"/>
            </a:ext>
          </a:extLst>
        </xdr:cNvPr>
        <xdr:cNvSpPr/>
      </xdr:nvSpPr>
      <xdr:spPr>
        <a:xfrm flipH="1">
          <a:off x="6318660" y="6738570"/>
          <a:ext cx="4320" cy="54310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154080</xdr:colOff>
      <xdr:row>34</xdr:row>
      <xdr:rowOff>454680</xdr:rowOff>
    </xdr:from>
    <xdr:to>
      <xdr:col>11</xdr:col>
      <xdr:colOff>560520</xdr:colOff>
      <xdr:row>35</xdr:row>
      <xdr:rowOff>257040</xdr:rowOff>
    </xdr:to>
    <xdr:sp macro="" textlink="">
      <xdr:nvSpPr>
        <xdr:cNvPr id="56" name="Virage 3">
          <a:extLst>
            <a:ext uri="{FF2B5EF4-FFF2-40B4-BE49-F238E27FC236}">
              <a16:creationId xmlns:a16="http://schemas.microsoft.com/office/drawing/2014/main" id="{A03E9BE9-59B4-4B3A-99B4-B5D1BB12D8AB}"/>
            </a:ext>
          </a:extLst>
        </xdr:cNvPr>
        <xdr:cNvSpPr/>
      </xdr:nvSpPr>
      <xdr:spPr>
        <a:xfrm rot="16200000">
          <a:off x="4070857" y="11549303"/>
          <a:ext cx="307185" cy="6654840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600840</xdr:colOff>
      <xdr:row>34</xdr:row>
      <xdr:rowOff>472320</xdr:rowOff>
    </xdr:from>
    <xdr:to>
      <xdr:col>13</xdr:col>
      <xdr:colOff>604440</xdr:colOff>
      <xdr:row>36</xdr:row>
      <xdr:rowOff>197280</xdr:rowOff>
    </xdr:to>
    <xdr:sp macro="" textlink="">
      <xdr:nvSpPr>
        <xdr:cNvPr id="57" name="Ligne verticale 35">
          <a:extLst>
            <a:ext uri="{FF2B5EF4-FFF2-40B4-BE49-F238E27FC236}">
              <a16:creationId xmlns:a16="http://schemas.microsoft.com/office/drawing/2014/main" id="{C53963EC-6F71-49FD-A381-68FFC7B46380}"/>
            </a:ext>
          </a:extLst>
        </xdr:cNvPr>
        <xdr:cNvSpPr/>
      </xdr:nvSpPr>
      <xdr:spPr>
        <a:xfrm flipV="1">
          <a:off x="9125715" y="14740770"/>
          <a:ext cx="3600" cy="73461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23040</xdr:colOff>
      <xdr:row>27</xdr:row>
      <xdr:rowOff>201600</xdr:rowOff>
    </xdr:from>
    <xdr:to>
      <xdr:col>16</xdr:col>
      <xdr:colOff>284400</xdr:colOff>
      <xdr:row>28</xdr:row>
      <xdr:rowOff>15944</xdr:rowOff>
    </xdr:to>
    <xdr:sp macro="" textlink="">
      <xdr:nvSpPr>
        <xdr:cNvPr id="58" name="Ligne 15">
          <a:extLst>
            <a:ext uri="{FF2B5EF4-FFF2-40B4-BE49-F238E27FC236}">
              <a16:creationId xmlns:a16="http://schemas.microsoft.com/office/drawing/2014/main" id="{317B0588-8210-469F-9100-DC28696D2B51}"/>
            </a:ext>
          </a:extLst>
        </xdr:cNvPr>
        <xdr:cNvSpPr/>
      </xdr:nvSpPr>
      <xdr:spPr>
        <a:xfrm flipH="1" flipV="1">
          <a:off x="8300265" y="12298350"/>
          <a:ext cx="2337810" cy="1437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30960</xdr:colOff>
      <xdr:row>36</xdr:row>
      <xdr:rowOff>276480</xdr:rowOff>
    </xdr:from>
    <xdr:to>
      <xdr:col>16</xdr:col>
      <xdr:colOff>400680</xdr:colOff>
      <xdr:row>36</xdr:row>
      <xdr:rowOff>307800</xdr:rowOff>
    </xdr:to>
    <xdr:sp macro="" textlink="">
      <xdr:nvSpPr>
        <xdr:cNvPr id="59" name="Ligne 19">
          <a:extLst>
            <a:ext uri="{FF2B5EF4-FFF2-40B4-BE49-F238E27FC236}">
              <a16:creationId xmlns:a16="http://schemas.microsoft.com/office/drawing/2014/main" id="{B4F2BC8C-4B42-44A6-9250-F7FCDCEEE715}"/>
            </a:ext>
          </a:extLst>
        </xdr:cNvPr>
        <xdr:cNvSpPr/>
      </xdr:nvSpPr>
      <xdr:spPr>
        <a:xfrm flipH="1">
          <a:off x="8308185" y="15554580"/>
          <a:ext cx="2446170" cy="313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612360</xdr:colOff>
      <xdr:row>27</xdr:row>
      <xdr:rowOff>202320</xdr:rowOff>
    </xdr:from>
    <xdr:to>
      <xdr:col>13</xdr:col>
      <xdr:colOff>612360</xdr:colOff>
      <xdr:row>29</xdr:row>
      <xdr:rowOff>372239</xdr:rowOff>
    </xdr:to>
    <xdr:sp macro="" textlink="">
      <xdr:nvSpPr>
        <xdr:cNvPr id="60" name="Ligne verticale 36">
          <a:extLst>
            <a:ext uri="{FF2B5EF4-FFF2-40B4-BE49-F238E27FC236}">
              <a16:creationId xmlns:a16="http://schemas.microsoft.com/office/drawing/2014/main" id="{73CE26A4-77D0-4664-9417-B7CB1FE8A38B}"/>
            </a:ext>
          </a:extLst>
        </xdr:cNvPr>
        <xdr:cNvSpPr/>
      </xdr:nvSpPr>
      <xdr:spPr>
        <a:xfrm>
          <a:off x="9137235" y="12299070"/>
          <a:ext cx="0" cy="64617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649440</xdr:colOff>
      <xdr:row>29</xdr:row>
      <xdr:rowOff>57960</xdr:rowOff>
    </xdr:from>
    <xdr:to>
      <xdr:col>11</xdr:col>
      <xdr:colOff>678240</xdr:colOff>
      <xdr:row>35</xdr:row>
      <xdr:rowOff>130544</xdr:rowOff>
    </xdr:to>
    <xdr:sp macro="" textlink="">
      <xdr:nvSpPr>
        <xdr:cNvPr id="61" name="Ligne verticale 37">
          <a:extLst>
            <a:ext uri="{FF2B5EF4-FFF2-40B4-BE49-F238E27FC236}">
              <a16:creationId xmlns:a16="http://schemas.microsoft.com/office/drawing/2014/main" id="{92E5131B-CC54-469A-80D5-9B0EC8023BEB}"/>
            </a:ext>
          </a:extLst>
        </xdr:cNvPr>
        <xdr:cNvSpPr/>
      </xdr:nvSpPr>
      <xdr:spPr>
        <a:xfrm>
          <a:off x="7640790" y="12630960"/>
          <a:ext cx="28800" cy="249799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4</xdr:col>
      <xdr:colOff>394920</xdr:colOff>
      <xdr:row>29</xdr:row>
      <xdr:rowOff>21960</xdr:rowOff>
    </xdr:from>
    <xdr:to>
      <xdr:col>4</xdr:col>
      <xdr:colOff>416520</xdr:colOff>
      <xdr:row>34</xdr:row>
      <xdr:rowOff>330011</xdr:rowOff>
    </xdr:to>
    <xdr:sp macro="" textlink="">
      <xdr:nvSpPr>
        <xdr:cNvPr id="62" name="Ligne verticale 38">
          <a:extLst>
            <a:ext uri="{FF2B5EF4-FFF2-40B4-BE49-F238E27FC236}">
              <a16:creationId xmlns:a16="http://schemas.microsoft.com/office/drawing/2014/main" id="{0665859A-E396-4C13-9CA7-F7577C822582}"/>
            </a:ext>
          </a:extLst>
        </xdr:cNvPr>
        <xdr:cNvSpPr/>
      </xdr:nvSpPr>
      <xdr:spPr>
        <a:xfrm flipV="1">
          <a:off x="2785695" y="12594960"/>
          <a:ext cx="21600" cy="223123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7</xdr:col>
      <xdr:colOff>89640</xdr:colOff>
      <xdr:row>30</xdr:row>
      <xdr:rowOff>315720</xdr:rowOff>
    </xdr:from>
    <xdr:to>
      <xdr:col>11</xdr:col>
      <xdr:colOff>1085760</xdr:colOff>
      <xdr:row>30</xdr:row>
      <xdr:rowOff>335880</xdr:rowOff>
    </xdr:to>
    <xdr:sp macro="" textlink="">
      <xdr:nvSpPr>
        <xdr:cNvPr id="63" name="Ligne 20">
          <a:extLst>
            <a:ext uri="{FF2B5EF4-FFF2-40B4-BE49-F238E27FC236}">
              <a16:creationId xmlns:a16="http://schemas.microsoft.com/office/drawing/2014/main" id="{F6EC533E-5FD8-42B3-B0B9-9181159E4970}"/>
            </a:ext>
          </a:extLst>
        </xdr:cNvPr>
        <xdr:cNvSpPr/>
      </xdr:nvSpPr>
      <xdr:spPr>
        <a:xfrm flipH="1">
          <a:off x="5118840" y="13393545"/>
          <a:ext cx="2958270" cy="2016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1191240</xdr:colOff>
      <xdr:row>30</xdr:row>
      <xdr:rowOff>189720</xdr:rowOff>
    </xdr:from>
    <xdr:to>
      <xdr:col>12</xdr:col>
      <xdr:colOff>6120</xdr:colOff>
      <xdr:row>33</xdr:row>
      <xdr:rowOff>141672</xdr:rowOff>
    </xdr:to>
    <xdr:sp macro="" textlink="">
      <xdr:nvSpPr>
        <xdr:cNvPr id="64" name="Forme 4">
          <a:extLst>
            <a:ext uri="{FF2B5EF4-FFF2-40B4-BE49-F238E27FC236}">
              <a16:creationId xmlns:a16="http://schemas.microsoft.com/office/drawing/2014/main" id="{525A5EAC-974D-43C6-9EE2-CB8FBF0AA6A0}"/>
            </a:ext>
          </a:extLst>
        </xdr:cNvPr>
        <xdr:cNvSpPr/>
      </xdr:nvSpPr>
      <xdr:spPr>
        <a:xfrm flipH="1">
          <a:off x="8182590" y="13267545"/>
          <a:ext cx="100755" cy="1055985"/>
        </a:xfrm>
        <a:custGeom>
          <a:avLst/>
          <a:gdLst>
            <a:gd name="textAreaLeft" fmla="*/ -360 w 177120"/>
            <a:gd name="textAreaRight" fmla="*/ 124200 w 17712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8</xdr:col>
      <xdr:colOff>589680</xdr:colOff>
      <xdr:row>30</xdr:row>
      <xdr:rowOff>374040</xdr:rowOff>
    </xdr:from>
    <xdr:to>
      <xdr:col>8</xdr:col>
      <xdr:colOff>605160</xdr:colOff>
      <xdr:row>31</xdr:row>
      <xdr:rowOff>262800</xdr:rowOff>
    </xdr:to>
    <xdr:sp macro="" textlink="">
      <xdr:nvSpPr>
        <xdr:cNvPr id="65" name="Ligne verticale 39">
          <a:extLst>
            <a:ext uri="{FF2B5EF4-FFF2-40B4-BE49-F238E27FC236}">
              <a16:creationId xmlns:a16="http://schemas.microsoft.com/office/drawing/2014/main" id="{9B9E92CA-9226-4424-AFEF-997B34C0C17E}"/>
            </a:ext>
          </a:extLst>
        </xdr:cNvPr>
        <xdr:cNvSpPr/>
      </xdr:nvSpPr>
      <xdr:spPr>
        <a:xfrm flipH="1">
          <a:off x="5885580" y="13451865"/>
          <a:ext cx="15480" cy="3935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31</xdr:col>
      <xdr:colOff>617040</xdr:colOff>
      <xdr:row>14</xdr:row>
      <xdr:rowOff>90000</xdr:rowOff>
    </xdr:from>
    <xdr:to>
      <xdr:col>31</xdr:col>
      <xdr:colOff>639360</xdr:colOff>
      <xdr:row>29</xdr:row>
      <xdr:rowOff>122653</xdr:rowOff>
    </xdr:to>
    <xdr:sp macro="" textlink="">
      <xdr:nvSpPr>
        <xdr:cNvPr id="66" name="Ligne verticale 3">
          <a:extLst>
            <a:ext uri="{FF2B5EF4-FFF2-40B4-BE49-F238E27FC236}">
              <a16:creationId xmlns:a16="http://schemas.microsoft.com/office/drawing/2014/main" id="{FB9BDECC-BCA9-467A-9CA0-A5074E05DB9B}"/>
            </a:ext>
          </a:extLst>
        </xdr:cNvPr>
        <xdr:cNvSpPr/>
      </xdr:nvSpPr>
      <xdr:spPr>
        <a:xfrm flipH="1">
          <a:off x="22667415" y="7214700"/>
          <a:ext cx="22320" cy="570609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29</xdr:col>
      <xdr:colOff>253080</xdr:colOff>
      <xdr:row>17</xdr:row>
      <xdr:rowOff>38880</xdr:rowOff>
    </xdr:from>
    <xdr:to>
      <xdr:col>29</xdr:col>
      <xdr:colOff>266400</xdr:colOff>
      <xdr:row>31</xdr:row>
      <xdr:rowOff>247650</xdr:rowOff>
    </xdr:to>
    <xdr:sp macro="" textlink="">
      <xdr:nvSpPr>
        <xdr:cNvPr id="67" name="Ligne verticale 17">
          <a:extLst>
            <a:ext uri="{FF2B5EF4-FFF2-40B4-BE49-F238E27FC236}">
              <a16:creationId xmlns:a16="http://schemas.microsoft.com/office/drawing/2014/main" id="{43BC3AC6-97CE-4F63-AAE4-4EB16EF06B37}"/>
            </a:ext>
          </a:extLst>
        </xdr:cNvPr>
        <xdr:cNvSpPr/>
      </xdr:nvSpPr>
      <xdr:spPr>
        <a:xfrm>
          <a:off x="20912805" y="8077980"/>
          <a:ext cx="13320" cy="575232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34</xdr:col>
      <xdr:colOff>27709</xdr:colOff>
      <xdr:row>22</xdr:row>
      <xdr:rowOff>13856</xdr:rowOff>
    </xdr:from>
    <xdr:to>
      <xdr:col>34</xdr:col>
      <xdr:colOff>34592</xdr:colOff>
      <xdr:row>24</xdr:row>
      <xdr:rowOff>261699</xdr:rowOff>
    </xdr:to>
    <xdr:sp macro="" textlink="">
      <xdr:nvSpPr>
        <xdr:cNvPr id="68" name="Ligne verticale 32">
          <a:extLst>
            <a:ext uri="{FF2B5EF4-FFF2-40B4-BE49-F238E27FC236}">
              <a16:creationId xmlns:a16="http://schemas.microsoft.com/office/drawing/2014/main" id="{C96E9B1B-52A8-4FCC-B8A6-24920C21489E}"/>
            </a:ext>
          </a:extLst>
        </xdr:cNvPr>
        <xdr:cNvSpPr/>
      </xdr:nvSpPr>
      <xdr:spPr>
        <a:xfrm>
          <a:off x="24706984" y="10148456"/>
          <a:ext cx="6883" cy="895543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8</xdr:col>
      <xdr:colOff>858600</xdr:colOff>
      <xdr:row>17</xdr:row>
      <xdr:rowOff>0</xdr:rowOff>
    </xdr:from>
    <xdr:to>
      <xdr:col>8</xdr:col>
      <xdr:colOff>895350</xdr:colOff>
      <xdr:row>32</xdr:row>
      <xdr:rowOff>95250</xdr:rowOff>
    </xdr:to>
    <xdr:sp macro="" textlink="">
      <xdr:nvSpPr>
        <xdr:cNvPr id="69" name="Ligne verticale 41">
          <a:extLst>
            <a:ext uri="{FF2B5EF4-FFF2-40B4-BE49-F238E27FC236}">
              <a16:creationId xmlns:a16="http://schemas.microsoft.com/office/drawing/2014/main" id="{F8AFB3EE-6EF8-4AA4-A5A7-AEDC14B0216C}"/>
            </a:ext>
          </a:extLst>
        </xdr:cNvPr>
        <xdr:cNvSpPr/>
      </xdr:nvSpPr>
      <xdr:spPr>
        <a:xfrm>
          <a:off x="6154500" y="8039100"/>
          <a:ext cx="36750" cy="591502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6</xdr:col>
      <xdr:colOff>585000</xdr:colOff>
      <xdr:row>14</xdr:row>
      <xdr:rowOff>17280</xdr:rowOff>
    </xdr:from>
    <xdr:to>
      <xdr:col>6</xdr:col>
      <xdr:colOff>600840</xdr:colOff>
      <xdr:row>28</xdr:row>
      <xdr:rowOff>148104</xdr:rowOff>
    </xdr:to>
    <xdr:sp macro="" textlink="">
      <xdr:nvSpPr>
        <xdr:cNvPr id="70" name="Ligne verticale 42">
          <a:extLst>
            <a:ext uri="{FF2B5EF4-FFF2-40B4-BE49-F238E27FC236}">
              <a16:creationId xmlns:a16="http://schemas.microsoft.com/office/drawing/2014/main" id="{F3ECB7F9-C28E-423B-A02F-AF07EB061E87}"/>
            </a:ext>
          </a:extLst>
        </xdr:cNvPr>
        <xdr:cNvSpPr/>
      </xdr:nvSpPr>
      <xdr:spPr>
        <a:xfrm>
          <a:off x="4414050" y="7141980"/>
          <a:ext cx="15840" cy="552717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4</xdr:col>
      <xdr:colOff>497160</xdr:colOff>
      <xdr:row>22</xdr:row>
      <xdr:rowOff>41040</xdr:rowOff>
    </xdr:from>
    <xdr:to>
      <xdr:col>4</xdr:col>
      <xdr:colOff>498600</xdr:colOff>
      <xdr:row>24</xdr:row>
      <xdr:rowOff>128160</xdr:rowOff>
    </xdr:to>
    <xdr:sp macro="" textlink="">
      <xdr:nvSpPr>
        <xdr:cNvPr id="71" name="Ligne verticale 43">
          <a:extLst>
            <a:ext uri="{FF2B5EF4-FFF2-40B4-BE49-F238E27FC236}">
              <a16:creationId xmlns:a16="http://schemas.microsoft.com/office/drawing/2014/main" id="{CF71F14D-3804-46D8-BB69-8D6CCBEAADC5}"/>
            </a:ext>
          </a:extLst>
        </xdr:cNvPr>
        <xdr:cNvSpPr/>
      </xdr:nvSpPr>
      <xdr:spPr>
        <a:xfrm>
          <a:off x="2887935" y="10175640"/>
          <a:ext cx="1440" cy="73482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513720</xdr:colOff>
      <xdr:row>17</xdr:row>
      <xdr:rowOff>56160</xdr:rowOff>
    </xdr:from>
    <xdr:to>
      <xdr:col>2</xdr:col>
      <xdr:colOff>549360</xdr:colOff>
      <xdr:row>29</xdr:row>
      <xdr:rowOff>166350</xdr:rowOff>
    </xdr:to>
    <xdr:sp macro="" textlink="">
      <xdr:nvSpPr>
        <xdr:cNvPr id="72" name="Ligne verticale 44">
          <a:extLst>
            <a:ext uri="{FF2B5EF4-FFF2-40B4-BE49-F238E27FC236}">
              <a16:creationId xmlns:a16="http://schemas.microsoft.com/office/drawing/2014/main" id="{E1FE5E8A-AD26-4782-9B7F-B567706735EF}"/>
            </a:ext>
          </a:extLst>
        </xdr:cNvPr>
        <xdr:cNvSpPr/>
      </xdr:nvSpPr>
      <xdr:spPr>
        <a:xfrm>
          <a:off x="1256670" y="8095260"/>
          <a:ext cx="35640" cy="464409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785433</xdr:colOff>
      <xdr:row>2</xdr:row>
      <xdr:rowOff>1794759</xdr:rowOff>
    </xdr:from>
    <xdr:to>
      <xdr:col>18</xdr:col>
      <xdr:colOff>311727</xdr:colOff>
      <xdr:row>3</xdr:row>
      <xdr:rowOff>311728</xdr:rowOff>
    </xdr:to>
    <xdr:sp macro="" textlink="">
      <xdr:nvSpPr>
        <xdr:cNvPr id="73" name="ZoneTexte 26">
          <a:extLst>
            <a:ext uri="{FF2B5EF4-FFF2-40B4-BE49-F238E27FC236}">
              <a16:creationId xmlns:a16="http://schemas.microsoft.com/office/drawing/2014/main" id="{A4569CDD-D759-4D94-B6F1-72D87D83303B}"/>
            </a:ext>
          </a:extLst>
        </xdr:cNvPr>
        <xdr:cNvSpPr/>
      </xdr:nvSpPr>
      <xdr:spPr>
        <a:xfrm>
          <a:off x="11107069" y="2210395"/>
          <a:ext cx="1587158" cy="318060"/>
        </a:xfrm>
        <a:prstGeom prst="rect">
          <a:avLst/>
        </a:prstGeom>
        <a:solidFill>
          <a:sysClr val="window" lastClr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800" b="1" strike="noStrike" spc="-1">
              <a:latin typeface="Calibri"/>
            </a:rPr>
            <a:t>Perdants (0)</a:t>
          </a:r>
          <a:endParaRPr lang="fr-FR" sz="1800" b="0" strike="noStrike" spc="-1">
            <a:latin typeface="Times New Roman"/>
          </a:endParaRPr>
        </a:p>
      </xdr:txBody>
    </xdr:sp>
    <xdr:clientData/>
  </xdr:twoCellAnchor>
  <xdr:twoCellAnchor editAs="oneCell">
    <xdr:from>
      <xdr:col>16</xdr:col>
      <xdr:colOff>291240</xdr:colOff>
      <xdr:row>8</xdr:row>
      <xdr:rowOff>508320</xdr:rowOff>
    </xdr:from>
    <xdr:to>
      <xdr:col>16</xdr:col>
      <xdr:colOff>291240</xdr:colOff>
      <xdr:row>11</xdr:row>
      <xdr:rowOff>6480</xdr:rowOff>
    </xdr:to>
    <xdr:sp macro="" textlink="">
      <xdr:nvSpPr>
        <xdr:cNvPr id="74" name="Ligne verticale 25">
          <a:extLst>
            <a:ext uri="{FF2B5EF4-FFF2-40B4-BE49-F238E27FC236}">
              <a16:creationId xmlns:a16="http://schemas.microsoft.com/office/drawing/2014/main" id="{9E5C61BF-7B41-45A6-B126-1976A86CC1C6}"/>
            </a:ext>
          </a:extLst>
        </xdr:cNvPr>
        <xdr:cNvSpPr/>
      </xdr:nvSpPr>
      <xdr:spPr>
        <a:xfrm>
          <a:off x="10644915" y="5366070"/>
          <a:ext cx="0" cy="47923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295560</xdr:colOff>
      <xdr:row>18</xdr:row>
      <xdr:rowOff>59760</xdr:rowOff>
    </xdr:from>
    <xdr:to>
      <xdr:col>16</xdr:col>
      <xdr:colOff>295560</xdr:colOff>
      <xdr:row>19</xdr:row>
      <xdr:rowOff>174600</xdr:rowOff>
    </xdr:to>
    <xdr:sp macro="" textlink="">
      <xdr:nvSpPr>
        <xdr:cNvPr id="75" name="Ligne verticale 26">
          <a:extLst>
            <a:ext uri="{FF2B5EF4-FFF2-40B4-BE49-F238E27FC236}">
              <a16:creationId xmlns:a16="http://schemas.microsoft.com/office/drawing/2014/main" id="{984437F0-04F7-4669-85C6-A67531BB355F}"/>
            </a:ext>
          </a:extLst>
        </xdr:cNvPr>
        <xdr:cNvSpPr/>
      </xdr:nvSpPr>
      <xdr:spPr>
        <a:xfrm>
          <a:off x="10649235" y="8603685"/>
          <a:ext cx="0" cy="49584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256680</xdr:colOff>
      <xdr:row>26</xdr:row>
      <xdr:rowOff>485280</xdr:rowOff>
    </xdr:from>
    <xdr:to>
      <xdr:col>16</xdr:col>
      <xdr:colOff>256680</xdr:colOff>
      <xdr:row>28</xdr:row>
      <xdr:rowOff>266040</xdr:rowOff>
    </xdr:to>
    <xdr:sp macro="" textlink="">
      <xdr:nvSpPr>
        <xdr:cNvPr id="76" name="Ligne verticale 33">
          <a:extLst>
            <a:ext uri="{FF2B5EF4-FFF2-40B4-BE49-F238E27FC236}">
              <a16:creationId xmlns:a16="http://schemas.microsoft.com/office/drawing/2014/main" id="{3BC01CA7-F2B3-40C2-A8D0-951D43636456}"/>
            </a:ext>
          </a:extLst>
        </xdr:cNvPr>
        <xdr:cNvSpPr/>
      </xdr:nvSpPr>
      <xdr:spPr>
        <a:xfrm>
          <a:off x="10610355" y="12077205"/>
          <a:ext cx="0" cy="48561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308160</xdr:colOff>
      <xdr:row>36</xdr:row>
      <xdr:rowOff>44280</xdr:rowOff>
    </xdr:from>
    <xdr:to>
      <xdr:col>16</xdr:col>
      <xdr:colOff>308160</xdr:colOff>
      <xdr:row>37</xdr:row>
      <xdr:rowOff>159120</xdr:rowOff>
    </xdr:to>
    <xdr:sp macro="" textlink="">
      <xdr:nvSpPr>
        <xdr:cNvPr id="77" name="Ligne verticale 34">
          <a:extLst>
            <a:ext uri="{FF2B5EF4-FFF2-40B4-BE49-F238E27FC236}">
              <a16:creationId xmlns:a16="http://schemas.microsoft.com/office/drawing/2014/main" id="{CBA2882C-FDDD-4729-824F-45CA2D879972}"/>
            </a:ext>
          </a:extLst>
        </xdr:cNvPr>
        <xdr:cNvSpPr/>
      </xdr:nvSpPr>
      <xdr:spPr>
        <a:xfrm>
          <a:off x="10661835" y="15322380"/>
          <a:ext cx="0" cy="49584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692670</xdr:colOff>
      <xdr:row>29</xdr:row>
      <xdr:rowOff>10200</xdr:rowOff>
    </xdr:from>
    <xdr:to>
      <xdr:col>26</xdr:col>
      <xdr:colOff>710310</xdr:colOff>
      <xdr:row>35</xdr:row>
      <xdr:rowOff>196184</xdr:rowOff>
    </xdr:to>
    <xdr:sp macro="" textlink="">
      <xdr:nvSpPr>
        <xdr:cNvPr id="81" name="Ligne verticale 14">
          <a:extLst>
            <a:ext uri="{FF2B5EF4-FFF2-40B4-BE49-F238E27FC236}">
              <a16:creationId xmlns:a16="http://schemas.microsoft.com/office/drawing/2014/main" id="{999CE2F5-3191-4994-8650-BE531B63F855}"/>
            </a:ext>
          </a:extLst>
        </xdr:cNvPr>
        <xdr:cNvSpPr/>
      </xdr:nvSpPr>
      <xdr:spPr>
        <a:xfrm>
          <a:off x="19656945" y="12583200"/>
          <a:ext cx="17640" cy="261139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232560</xdr:colOff>
      <xdr:row>30</xdr:row>
      <xdr:rowOff>420840</xdr:rowOff>
    </xdr:from>
    <xdr:to>
      <xdr:col>31</xdr:col>
      <xdr:colOff>40319</xdr:colOff>
      <xdr:row>30</xdr:row>
      <xdr:rowOff>431640</xdr:rowOff>
    </xdr:to>
    <xdr:sp macro="" textlink="">
      <xdr:nvSpPr>
        <xdr:cNvPr id="82" name="Ligne 5">
          <a:extLst>
            <a:ext uri="{FF2B5EF4-FFF2-40B4-BE49-F238E27FC236}">
              <a16:creationId xmlns:a16="http://schemas.microsoft.com/office/drawing/2014/main" id="{C6B3D8A9-FCAB-4B12-B565-71F9DE6DB747}"/>
            </a:ext>
          </a:extLst>
        </xdr:cNvPr>
        <xdr:cNvSpPr/>
      </xdr:nvSpPr>
      <xdr:spPr>
        <a:xfrm>
          <a:off x="19196835" y="13498665"/>
          <a:ext cx="2893860" cy="1080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608760</xdr:colOff>
      <xdr:row>34</xdr:row>
      <xdr:rowOff>491400</xdr:rowOff>
    </xdr:from>
    <xdr:to>
      <xdr:col>13</xdr:col>
      <xdr:colOff>612360</xdr:colOff>
      <xdr:row>36</xdr:row>
      <xdr:rowOff>130680</xdr:rowOff>
    </xdr:to>
    <xdr:sp macro="" textlink="">
      <xdr:nvSpPr>
        <xdr:cNvPr id="83" name="Ligne verticale 27">
          <a:extLst>
            <a:ext uri="{FF2B5EF4-FFF2-40B4-BE49-F238E27FC236}">
              <a16:creationId xmlns:a16="http://schemas.microsoft.com/office/drawing/2014/main" id="{55090FD6-6439-4B24-9CF1-3FA5A6412457}"/>
            </a:ext>
          </a:extLst>
        </xdr:cNvPr>
        <xdr:cNvSpPr/>
      </xdr:nvSpPr>
      <xdr:spPr>
        <a:xfrm flipV="1">
          <a:off x="9133635" y="14759850"/>
          <a:ext cx="3600" cy="64893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7</xdr:col>
      <xdr:colOff>62280</xdr:colOff>
      <xdr:row>30</xdr:row>
      <xdr:rowOff>315720</xdr:rowOff>
    </xdr:from>
    <xdr:to>
      <xdr:col>11</xdr:col>
      <xdr:colOff>1163160</xdr:colOff>
      <xdr:row>30</xdr:row>
      <xdr:rowOff>354960</xdr:rowOff>
    </xdr:to>
    <xdr:sp macro="" textlink="">
      <xdr:nvSpPr>
        <xdr:cNvPr id="84" name="Ligne 18">
          <a:extLst>
            <a:ext uri="{FF2B5EF4-FFF2-40B4-BE49-F238E27FC236}">
              <a16:creationId xmlns:a16="http://schemas.microsoft.com/office/drawing/2014/main" id="{605037B5-75F6-418F-B12C-BF2F338D0B78}"/>
            </a:ext>
          </a:extLst>
        </xdr:cNvPr>
        <xdr:cNvSpPr/>
      </xdr:nvSpPr>
      <xdr:spPr>
        <a:xfrm flipH="1">
          <a:off x="5091480" y="13393545"/>
          <a:ext cx="3063030" cy="392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oneCellAnchor>
    <xdr:from>
      <xdr:col>16</xdr:col>
      <xdr:colOff>1192320</xdr:colOff>
      <xdr:row>16</xdr:row>
      <xdr:rowOff>470160</xdr:rowOff>
    </xdr:from>
    <xdr:ext cx="861690" cy="1080"/>
    <xdr:sp macro="" textlink="">
      <xdr:nvSpPr>
        <xdr:cNvPr id="85" name="Ligne verticale 4">
          <a:extLst>
            <a:ext uri="{FF2B5EF4-FFF2-40B4-BE49-F238E27FC236}">
              <a16:creationId xmlns:a16="http://schemas.microsoft.com/office/drawing/2014/main" id="{51BE511E-5C15-4E4D-909A-C4D6A0CF730B}"/>
            </a:ext>
          </a:extLst>
        </xdr:cNvPr>
        <xdr:cNvSpPr/>
      </xdr:nvSpPr>
      <xdr:spPr>
        <a:xfrm flipH="1" flipV="1">
          <a:off x="11545995" y="8004435"/>
          <a:ext cx="8616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20</xdr:col>
      <xdr:colOff>18468</xdr:colOff>
      <xdr:row>38</xdr:row>
      <xdr:rowOff>506825</xdr:rowOff>
    </xdr:from>
    <xdr:ext cx="813598" cy="4680"/>
    <xdr:sp macro="" textlink="">
      <xdr:nvSpPr>
        <xdr:cNvPr id="86" name="Ligne 12">
          <a:extLst>
            <a:ext uri="{FF2B5EF4-FFF2-40B4-BE49-F238E27FC236}">
              <a16:creationId xmlns:a16="http://schemas.microsoft.com/office/drawing/2014/main" id="{BB453C9D-F96B-4880-B552-209A49EF8B1D}"/>
            </a:ext>
          </a:extLst>
        </xdr:cNvPr>
        <xdr:cNvSpPr/>
      </xdr:nvSpPr>
      <xdr:spPr>
        <a:xfrm>
          <a:off x="14610768" y="16365950"/>
          <a:ext cx="813598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twoCellAnchor editAs="oneCell">
    <xdr:from>
      <xdr:col>33</xdr:col>
      <xdr:colOff>348808</xdr:colOff>
      <xdr:row>22</xdr:row>
      <xdr:rowOff>30799</xdr:rowOff>
    </xdr:from>
    <xdr:to>
      <xdr:col>33</xdr:col>
      <xdr:colOff>1184682</xdr:colOff>
      <xdr:row>24</xdr:row>
      <xdr:rowOff>277091</xdr:rowOff>
    </xdr:to>
    <xdr:pic>
      <xdr:nvPicPr>
        <xdr:cNvPr id="87" name="Image 86" descr="Médaille Métallique - Bronze - Objet Publicitaire et Goodies Personnalisés  - Unicadeaux">
          <a:extLst>
            <a:ext uri="{FF2B5EF4-FFF2-40B4-BE49-F238E27FC236}">
              <a16:creationId xmlns:a16="http://schemas.microsoft.com/office/drawing/2014/main" id="{3D6FF9CF-E4A2-45FC-81A5-87804208D21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789" t="7576" r="9349" b="10606"/>
        <a:stretch/>
      </xdr:blipFill>
      <xdr:spPr bwMode="auto">
        <a:xfrm>
          <a:off x="23837458" y="10165399"/>
          <a:ext cx="835874" cy="8939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711720</xdr:colOff>
      <xdr:row>52</xdr:row>
      <xdr:rowOff>121320</xdr:rowOff>
    </xdr:from>
    <xdr:to>
      <xdr:col>35</xdr:col>
      <xdr:colOff>461160</xdr:colOff>
      <xdr:row>52</xdr:row>
      <xdr:rowOff>469878</xdr:rowOff>
    </xdr:to>
    <xdr:sp macro="" textlink="">
      <xdr:nvSpPr>
        <xdr:cNvPr id="433" name="Virage 8">
          <a:extLst>
            <a:ext uri="{FF2B5EF4-FFF2-40B4-BE49-F238E27FC236}">
              <a16:creationId xmlns:a16="http://schemas.microsoft.com/office/drawing/2014/main" id="{0A67B25B-B817-4FD2-A17E-9687CA62311C}"/>
            </a:ext>
          </a:extLst>
        </xdr:cNvPr>
        <xdr:cNvSpPr/>
      </xdr:nvSpPr>
      <xdr:spPr>
        <a:xfrm rot="5400000">
          <a:off x="22373348" y="3262792"/>
          <a:ext cx="345960" cy="5740665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578460</xdr:colOff>
      <xdr:row>64</xdr:row>
      <xdr:rowOff>201450</xdr:rowOff>
    </xdr:from>
    <xdr:to>
      <xdr:col>18</xdr:col>
      <xdr:colOff>382620</xdr:colOff>
      <xdr:row>66</xdr:row>
      <xdr:rowOff>0</xdr:rowOff>
    </xdr:to>
    <xdr:sp macro="" textlink="">
      <xdr:nvSpPr>
        <xdr:cNvPr id="434" name="ZoneTexte 26">
          <a:extLst>
            <a:ext uri="{FF2B5EF4-FFF2-40B4-BE49-F238E27FC236}">
              <a16:creationId xmlns:a16="http://schemas.microsoft.com/office/drawing/2014/main" id="{CCCF3EBD-F533-46D1-930F-78AFB4BC21FC}"/>
            </a:ext>
          </a:extLst>
        </xdr:cNvPr>
        <xdr:cNvSpPr/>
      </xdr:nvSpPr>
      <xdr:spPr>
        <a:xfrm>
          <a:off x="10932135" y="10688475"/>
          <a:ext cx="2109210" cy="398625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300" b="1" strike="noStrike" spc="-1">
              <a:latin typeface="Calibri"/>
            </a:rPr>
            <a:t>Perdants</a:t>
          </a:r>
          <a:endParaRPr lang="fr-FR" sz="1300" b="0" strike="noStrike" spc="-1">
            <a:latin typeface="Times New Roman"/>
          </a:endParaRPr>
        </a:p>
      </xdr:txBody>
    </xdr:sp>
    <xdr:clientData/>
  </xdr:twoCellAnchor>
  <xdr:twoCellAnchor editAs="oneCell">
    <xdr:from>
      <xdr:col>21</xdr:col>
      <xdr:colOff>874440</xdr:colOff>
      <xdr:row>49</xdr:row>
      <xdr:rowOff>456120</xdr:rowOff>
    </xdr:from>
    <xdr:to>
      <xdr:col>21</xdr:col>
      <xdr:colOff>874440</xdr:colOff>
      <xdr:row>51</xdr:row>
      <xdr:rowOff>227354</xdr:rowOff>
    </xdr:to>
    <xdr:sp macro="" textlink="">
      <xdr:nvSpPr>
        <xdr:cNvPr id="435" name="Ligne verticale 1">
          <a:extLst>
            <a:ext uri="{FF2B5EF4-FFF2-40B4-BE49-F238E27FC236}">
              <a16:creationId xmlns:a16="http://schemas.microsoft.com/office/drawing/2014/main" id="{03B93133-C86E-4628-BE0F-3B42C82A1775}"/>
            </a:ext>
          </a:extLst>
        </xdr:cNvPr>
        <xdr:cNvSpPr/>
      </xdr:nvSpPr>
      <xdr:spPr>
        <a:xfrm>
          <a:off x="16266840" y="5313870"/>
          <a:ext cx="0" cy="48561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59</xdr:row>
      <xdr:rowOff>0</xdr:rowOff>
    </xdr:from>
    <xdr:to>
      <xdr:col>21</xdr:col>
      <xdr:colOff>876600</xdr:colOff>
      <xdr:row>61</xdr:row>
      <xdr:rowOff>102752</xdr:rowOff>
    </xdr:to>
    <xdr:sp macro="" textlink="">
      <xdr:nvSpPr>
        <xdr:cNvPr id="436" name="Ligne verticale 2">
          <a:extLst>
            <a:ext uri="{FF2B5EF4-FFF2-40B4-BE49-F238E27FC236}">
              <a16:creationId xmlns:a16="http://schemas.microsoft.com/office/drawing/2014/main" id="{5CBF44C5-776B-4A11-A603-483FC3A93FDE}"/>
            </a:ext>
          </a:extLst>
        </xdr:cNvPr>
        <xdr:cNvSpPr/>
      </xdr:nvSpPr>
      <xdr:spPr>
        <a:xfrm flipH="1">
          <a:off x="16266840" y="8543925"/>
          <a:ext cx="2160" cy="58246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1192320</xdr:colOff>
      <xdr:row>48</xdr:row>
      <xdr:rowOff>470160</xdr:rowOff>
    </xdr:from>
    <xdr:to>
      <xdr:col>17</xdr:col>
      <xdr:colOff>815760</xdr:colOff>
      <xdr:row>48</xdr:row>
      <xdr:rowOff>476007</xdr:rowOff>
    </xdr:to>
    <xdr:sp macro="" textlink="">
      <xdr:nvSpPr>
        <xdr:cNvPr id="437" name="Ligne verticale 4">
          <a:extLst>
            <a:ext uri="{FF2B5EF4-FFF2-40B4-BE49-F238E27FC236}">
              <a16:creationId xmlns:a16="http://schemas.microsoft.com/office/drawing/2014/main" id="{865F867C-48BC-43E8-B1C3-A1E16DCF9590}"/>
            </a:ext>
          </a:extLst>
        </xdr:cNvPr>
        <xdr:cNvSpPr/>
      </xdr:nvSpPr>
      <xdr:spPr>
        <a:xfrm flipH="1" flipV="1">
          <a:off x="11545995" y="4823085"/>
          <a:ext cx="8235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1194480</xdr:colOff>
      <xdr:row>52</xdr:row>
      <xdr:rowOff>408870</xdr:rowOff>
    </xdr:from>
    <xdr:to>
      <xdr:col>17</xdr:col>
      <xdr:colOff>817920</xdr:colOff>
      <xdr:row>52</xdr:row>
      <xdr:rowOff>414717</xdr:rowOff>
    </xdr:to>
    <xdr:sp macro="" textlink="">
      <xdr:nvSpPr>
        <xdr:cNvPr id="438" name="Ligne verticale 5">
          <a:extLst>
            <a:ext uri="{FF2B5EF4-FFF2-40B4-BE49-F238E27FC236}">
              <a16:creationId xmlns:a16="http://schemas.microsoft.com/office/drawing/2014/main" id="{0C208EB3-86ED-4094-B248-9BFEDAB9BAF4}"/>
            </a:ext>
          </a:extLst>
        </xdr:cNvPr>
        <xdr:cNvSpPr/>
      </xdr:nvSpPr>
      <xdr:spPr>
        <a:xfrm flipH="1" flipV="1">
          <a:off x="11548155" y="6247695"/>
          <a:ext cx="8235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17</xdr:col>
      <xdr:colOff>4320</xdr:colOff>
      <xdr:row>61</xdr:row>
      <xdr:rowOff>467640</xdr:rowOff>
    </xdr:from>
    <xdr:to>
      <xdr:col>18</xdr:col>
      <xdr:colOff>0</xdr:colOff>
      <xdr:row>61</xdr:row>
      <xdr:rowOff>475647</xdr:rowOff>
    </xdr:to>
    <xdr:sp macro="" textlink="">
      <xdr:nvSpPr>
        <xdr:cNvPr id="439" name="Ligne verticale 6">
          <a:extLst>
            <a:ext uri="{FF2B5EF4-FFF2-40B4-BE49-F238E27FC236}">
              <a16:creationId xmlns:a16="http://schemas.microsoft.com/office/drawing/2014/main" id="{B49AC094-387C-4D04-AE20-CA2949D34691}"/>
            </a:ext>
          </a:extLst>
        </xdr:cNvPr>
        <xdr:cNvSpPr/>
      </xdr:nvSpPr>
      <xdr:spPr>
        <a:xfrm flipH="1" flipV="1">
          <a:off x="11558145" y="9592590"/>
          <a:ext cx="86037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1243800</xdr:colOff>
      <xdr:row>66</xdr:row>
      <xdr:rowOff>464760</xdr:rowOff>
    </xdr:from>
    <xdr:to>
      <xdr:col>18</xdr:col>
      <xdr:colOff>0</xdr:colOff>
      <xdr:row>67</xdr:row>
      <xdr:rowOff>9078</xdr:rowOff>
    </xdr:to>
    <xdr:sp macro="" textlink="">
      <xdr:nvSpPr>
        <xdr:cNvPr id="440" name="Ligne verticale 8">
          <a:extLst>
            <a:ext uri="{FF2B5EF4-FFF2-40B4-BE49-F238E27FC236}">
              <a16:creationId xmlns:a16="http://schemas.microsoft.com/office/drawing/2014/main" id="{36F533BB-8D58-4E6D-B3FA-21CAC05B5E60}"/>
            </a:ext>
          </a:extLst>
        </xdr:cNvPr>
        <xdr:cNvSpPr/>
      </xdr:nvSpPr>
      <xdr:spPr>
        <a:xfrm flipH="1" flipV="1">
          <a:off x="11549850" y="11551860"/>
          <a:ext cx="8616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1233720</xdr:colOff>
      <xdr:row>70</xdr:row>
      <xdr:rowOff>440640</xdr:rowOff>
    </xdr:from>
    <xdr:to>
      <xdr:col>17</xdr:col>
      <xdr:colOff>857160</xdr:colOff>
      <xdr:row>70</xdr:row>
      <xdr:rowOff>448647</xdr:rowOff>
    </xdr:to>
    <xdr:sp macro="" textlink="">
      <xdr:nvSpPr>
        <xdr:cNvPr id="441" name="Ligne verticale 12">
          <a:extLst>
            <a:ext uri="{FF2B5EF4-FFF2-40B4-BE49-F238E27FC236}">
              <a16:creationId xmlns:a16="http://schemas.microsoft.com/office/drawing/2014/main" id="{C6512107-7799-439D-843D-E8DBF8872FEE}"/>
            </a:ext>
          </a:extLst>
        </xdr:cNvPr>
        <xdr:cNvSpPr/>
      </xdr:nvSpPr>
      <xdr:spPr>
        <a:xfrm flipH="1" flipV="1">
          <a:off x="11549295" y="13013640"/>
          <a:ext cx="8616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1184400</xdr:colOff>
      <xdr:row>75</xdr:row>
      <xdr:rowOff>363960</xdr:rowOff>
    </xdr:from>
    <xdr:to>
      <xdr:col>17</xdr:col>
      <xdr:colOff>807840</xdr:colOff>
      <xdr:row>75</xdr:row>
      <xdr:rowOff>369807</xdr:rowOff>
    </xdr:to>
    <xdr:sp macro="" textlink="">
      <xdr:nvSpPr>
        <xdr:cNvPr id="442" name="Ligne verticale 9">
          <a:extLst>
            <a:ext uri="{FF2B5EF4-FFF2-40B4-BE49-F238E27FC236}">
              <a16:creationId xmlns:a16="http://schemas.microsoft.com/office/drawing/2014/main" id="{08813DBF-4543-4F90-AD8C-1CA8244152E9}"/>
            </a:ext>
          </a:extLst>
        </xdr:cNvPr>
        <xdr:cNvSpPr/>
      </xdr:nvSpPr>
      <xdr:spPr>
        <a:xfrm flipH="1" flipV="1">
          <a:off x="11538075" y="14632410"/>
          <a:ext cx="8235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1233360</xdr:colOff>
      <xdr:row>79</xdr:row>
      <xdr:rowOff>448560</xdr:rowOff>
    </xdr:from>
    <xdr:to>
      <xdr:col>17</xdr:col>
      <xdr:colOff>856800</xdr:colOff>
      <xdr:row>79</xdr:row>
      <xdr:rowOff>454408</xdr:rowOff>
    </xdr:to>
    <xdr:sp macro="" textlink="">
      <xdr:nvSpPr>
        <xdr:cNvPr id="443" name="Ligne verticale 10">
          <a:extLst>
            <a:ext uri="{FF2B5EF4-FFF2-40B4-BE49-F238E27FC236}">
              <a16:creationId xmlns:a16="http://schemas.microsoft.com/office/drawing/2014/main" id="{C3BA0F98-30A0-4557-9450-45193F51DA87}"/>
            </a:ext>
          </a:extLst>
        </xdr:cNvPr>
        <xdr:cNvSpPr/>
      </xdr:nvSpPr>
      <xdr:spPr>
        <a:xfrm flipH="1" flipV="1">
          <a:off x="11558460" y="16307685"/>
          <a:ext cx="852165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678960</xdr:colOff>
      <xdr:row>58</xdr:row>
      <xdr:rowOff>8280</xdr:rowOff>
    </xdr:from>
    <xdr:to>
      <xdr:col>24</xdr:col>
      <xdr:colOff>686520</xdr:colOff>
      <xdr:row>60</xdr:row>
      <xdr:rowOff>4216</xdr:rowOff>
    </xdr:to>
    <xdr:sp macro="" textlink="">
      <xdr:nvSpPr>
        <xdr:cNvPr id="444" name="Ligne verticale 11">
          <a:extLst>
            <a:ext uri="{FF2B5EF4-FFF2-40B4-BE49-F238E27FC236}">
              <a16:creationId xmlns:a16="http://schemas.microsoft.com/office/drawing/2014/main" id="{5D55DD8C-01D7-448E-B7DC-0F096F2F2B7C}"/>
            </a:ext>
          </a:extLst>
        </xdr:cNvPr>
        <xdr:cNvSpPr/>
      </xdr:nvSpPr>
      <xdr:spPr>
        <a:xfrm flipH="1" flipV="1">
          <a:off x="18157335" y="8047380"/>
          <a:ext cx="7560" cy="7769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293370</xdr:colOff>
      <xdr:row>48</xdr:row>
      <xdr:rowOff>472170</xdr:rowOff>
    </xdr:from>
    <xdr:to>
      <xdr:col>20</xdr:col>
      <xdr:colOff>795960</xdr:colOff>
      <xdr:row>48</xdr:row>
      <xdr:rowOff>474417</xdr:rowOff>
    </xdr:to>
    <xdr:sp macro="" textlink="">
      <xdr:nvSpPr>
        <xdr:cNvPr id="445" name="Ligne 1">
          <a:extLst>
            <a:ext uri="{FF2B5EF4-FFF2-40B4-BE49-F238E27FC236}">
              <a16:creationId xmlns:a16="http://schemas.microsoft.com/office/drawing/2014/main" id="{1632289D-764F-48CA-8A6C-39ACA2001318}"/>
            </a:ext>
          </a:extLst>
        </xdr:cNvPr>
        <xdr:cNvSpPr/>
      </xdr:nvSpPr>
      <xdr:spPr>
        <a:xfrm>
          <a:off x="14590395" y="4825095"/>
          <a:ext cx="797865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51</xdr:row>
      <xdr:rowOff>0</xdr:rowOff>
    </xdr:from>
    <xdr:to>
      <xdr:col>25</xdr:col>
      <xdr:colOff>232560</xdr:colOff>
      <xdr:row>51</xdr:row>
      <xdr:rowOff>19440</xdr:rowOff>
    </xdr:to>
    <xdr:sp macro="" textlink="">
      <xdr:nvSpPr>
        <xdr:cNvPr id="446" name="Ligne 2">
          <a:extLst>
            <a:ext uri="{FF2B5EF4-FFF2-40B4-BE49-F238E27FC236}">
              <a16:creationId xmlns:a16="http://schemas.microsoft.com/office/drawing/2014/main" id="{49410803-6240-4093-B122-F09D47F8E74C}"/>
            </a:ext>
          </a:extLst>
        </xdr:cNvPr>
        <xdr:cNvSpPr/>
      </xdr:nvSpPr>
      <xdr:spPr>
        <a:xfrm flipV="1">
          <a:off x="16266840" y="5562600"/>
          <a:ext cx="2644245" cy="194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59</xdr:row>
      <xdr:rowOff>331920</xdr:rowOff>
    </xdr:from>
    <xdr:to>
      <xdr:col>25</xdr:col>
      <xdr:colOff>223200</xdr:colOff>
      <xdr:row>59</xdr:row>
      <xdr:rowOff>371967</xdr:rowOff>
    </xdr:to>
    <xdr:sp macro="" textlink="">
      <xdr:nvSpPr>
        <xdr:cNvPr id="447" name="Ligne 3">
          <a:extLst>
            <a:ext uri="{FF2B5EF4-FFF2-40B4-BE49-F238E27FC236}">
              <a16:creationId xmlns:a16="http://schemas.microsoft.com/office/drawing/2014/main" id="{7A2D3E90-9E92-46B2-8E77-C54533D169D2}"/>
            </a:ext>
          </a:extLst>
        </xdr:cNvPr>
        <xdr:cNvSpPr/>
      </xdr:nvSpPr>
      <xdr:spPr>
        <a:xfrm>
          <a:off x="16266840" y="8875845"/>
          <a:ext cx="2634885" cy="331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696240</xdr:colOff>
      <xdr:row>51</xdr:row>
      <xdr:rowOff>24480</xdr:rowOff>
    </xdr:from>
    <xdr:to>
      <xdr:col>24</xdr:col>
      <xdr:colOff>696240</xdr:colOff>
      <xdr:row>52</xdr:row>
      <xdr:rowOff>405371</xdr:rowOff>
    </xdr:to>
    <xdr:sp macro="" textlink="">
      <xdr:nvSpPr>
        <xdr:cNvPr id="448" name="Ligne verticale 13">
          <a:extLst>
            <a:ext uri="{FF2B5EF4-FFF2-40B4-BE49-F238E27FC236}">
              <a16:creationId xmlns:a16="http://schemas.microsoft.com/office/drawing/2014/main" id="{2B142102-CC71-4378-907A-B6B3B6B354C3}"/>
            </a:ext>
          </a:extLst>
        </xdr:cNvPr>
        <xdr:cNvSpPr/>
      </xdr:nvSpPr>
      <xdr:spPr>
        <a:xfrm>
          <a:off x="18174615" y="5587080"/>
          <a:ext cx="0" cy="6527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704850</xdr:colOff>
      <xdr:row>52</xdr:row>
      <xdr:rowOff>38100</xdr:rowOff>
    </xdr:from>
    <xdr:to>
      <xdr:col>26</xdr:col>
      <xdr:colOff>704850</xdr:colOff>
      <xdr:row>59</xdr:row>
      <xdr:rowOff>99579</xdr:rowOff>
    </xdr:to>
    <xdr:sp macro="" textlink="">
      <xdr:nvSpPr>
        <xdr:cNvPr id="449" name="Ligne verticale 14">
          <a:extLst>
            <a:ext uri="{FF2B5EF4-FFF2-40B4-BE49-F238E27FC236}">
              <a16:creationId xmlns:a16="http://schemas.microsoft.com/office/drawing/2014/main" id="{DB9D3C10-C5C2-46DC-B837-1B9695237571}"/>
            </a:ext>
          </a:extLst>
        </xdr:cNvPr>
        <xdr:cNvSpPr/>
      </xdr:nvSpPr>
      <xdr:spPr>
        <a:xfrm flipH="1">
          <a:off x="19669125" y="5876925"/>
          <a:ext cx="0" cy="263842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33</xdr:col>
      <xdr:colOff>584640</xdr:colOff>
      <xdr:row>52</xdr:row>
      <xdr:rowOff>185040</xdr:rowOff>
    </xdr:from>
    <xdr:to>
      <xdr:col>33</xdr:col>
      <xdr:colOff>619920</xdr:colOff>
      <xdr:row>59</xdr:row>
      <xdr:rowOff>117969</xdr:rowOff>
    </xdr:to>
    <xdr:sp macro="" textlink="">
      <xdr:nvSpPr>
        <xdr:cNvPr id="450" name="Ligne verticale 15">
          <a:extLst>
            <a:ext uri="{FF2B5EF4-FFF2-40B4-BE49-F238E27FC236}">
              <a16:creationId xmlns:a16="http://schemas.microsoft.com/office/drawing/2014/main" id="{0396777C-BA67-47C6-8775-CD5F43213E90}"/>
            </a:ext>
          </a:extLst>
        </xdr:cNvPr>
        <xdr:cNvSpPr/>
      </xdr:nvSpPr>
      <xdr:spPr>
        <a:xfrm>
          <a:off x="24073290" y="6023865"/>
          <a:ext cx="35280" cy="250987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232560</xdr:colOff>
      <xdr:row>53</xdr:row>
      <xdr:rowOff>420840</xdr:rowOff>
    </xdr:from>
    <xdr:to>
      <xdr:col>31</xdr:col>
      <xdr:colOff>40320</xdr:colOff>
      <xdr:row>53</xdr:row>
      <xdr:rowOff>424712</xdr:rowOff>
    </xdr:to>
    <xdr:sp macro="" textlink="">
      <xdr:nvSpPr>
        <xdr:cNvPr id="451" name="Ligne 5">
          <a:extLst>
            <a:ext uri="{FF2B5EF4-FFF2-40B4-BE49-F238E27FC236}">
              <a16:creationId xmlns:a16="http://schemas.microsoft.com/office/drawing/2014/main" id="{9D1D3130-AA5E-4459-AE62-7509196DD31F}"/>
            </a:ext>
          </a:extLst>
        </xdr:cNvPr>
        <xdr:cNvSpPr/>
      </xdr:nvSpPr>
      <xdr:spPr>
        <a:xfrm>
          <a:off x="19196835" y="6764490"/>
          <a:ext cx="2893860" cy="1080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35</xdr:col>
      <xdr:colOff>852480</xdr:colOff>
      <xdr:row>57</xdr:row>
      <xdr:rowOff>494280</xdr:rowOff>
    </xdr:from>
    <xdr:to>
      <xdr:col>35</xdr:col>
      <xdr:colOff>883800</xdr:colOff>
      <xdr:row>71</xdr:row>
      <xdr:rowOff>387757</xdr:rowOff>
    </xdr:to>
    <xdr:sp macro="" textlink="">
      <xdr:nvSpPr>
        <xdr:cNvPr id="452" name="Ligne verticale 40">
          <a:extLst>
            <a:ext uri="{FF2B5EF4-FFF2-40B4-BE49-F238E27FC236}">
              <a16:creationId xmlns:a16="http://schemas.microsoft.com/office/drawing/2014/main" id="{7B913B25-5A3B-4885-B474-E32336E00666}"/>
            </a:ext>
          </a:extLst>
        </xdr:cNvPr>
        <xdr:cNvSpPr/>
      </xdr:nvSpPr>
      <xdr:spPr>
        <a:xfrm>
          <a:off x="25807980" y="8028555"/>
          <a:ext cx="31320" cy="486379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35</xdr:col>
      <xdr:colOff>318655</xdr:colOff>
      <xdr:row>61</xdr:row>
      <xdr:rowOff>159109</xdr:rowOff>
    </xdr:from>
    <xdr:to>
      <xdr:col>37</xdr:col>
      <xdr:colOff>2599</xdr:colOff>
      <xdr:row>67</xdr:row>
      <xdr:rowOff>167985</xdr:rowOff>
    </xdr:to>
    <xdr:pic>
      <xdr:nvPicPr>
        <xdr:cNvPr id="453" name="Image 31" descr="Une image contenant tasse, jaune, vaisselle, calice&#10;&#10;Description générée automatiquement">
          <a:extLst>
            <a:ext uri="{FF2B5EF4-FFF2-40B4-BE49-F238E27FC236}">
              <a16:creationId xmlns:a16="http://schemas.microsoft.com/office/drawing/2014/main" id="{DFFDFB68-F5C6-4503-9F0F-675B12EE4AA1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16259" r="14463"/>
        <a:stretch/>
      </xdr:blipFill>
      <xdr:spPr>
        <a:xfrm>
          <a:off x="25274155" y="9284059"/>
          <a:ext cx="1312719" cy="206627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18</xdr:col>
      <xdr:colOff>1177920</xdr:colOff>
      <xdr:row>47</xdr:row>
      <xdr:rowOff>260400</xdr:rowOff>
    </xdr:from>
    <xdr:to>
      <xdr:col>21</xdr:col>
      <xdr:colOff>887760</xdr:colOff>
      <xdr:row>47</xdr:row>
      <xdr:rowOff>594360</xdr:rowOff>
    </xdr:to>
    <xdr:sp macro="" textlink="">
      <xdr:nvSpPr>
        <xdr:cNvPr id="454" name="ZoneTexte 1">
          <a:extLst>
            <a:ext uri="{FF2B5EF4-FFF2-40B4-BE49-F238E27FC236}">
              <a16:creationId xmlns:a16="http://schemas.microsoft.com/office/drawing/2014/main" id="{D6357F45-4ED4-49F5-83DC-1E5A87537165}"/>
            </a:ext>
          </a:extLst>
        </xdr:cNvPr>
        <xdr:cNvSpPr/>
      </xdr:nvSpPr>
      <xdr:spPr>
        <a:xfrm>
          <a:off x="13836645" y="3984675"/>
          <a:ext cx="2443515" cy="333960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800" b="1" strike="noStrike" spc="-1">
              <a:latin typeface="Calibri"/>
            </a:rPr>
            <a:t>Gagnants (G)</a:t>
          </a:r>
          <a:endParaRPr lang="fr-FR" sz="1800" b="0" strike="noStrike" spc="-1">
            <a:latin typeface="Times New Roman"/>
          </a:endParaRPr>
        </a:p>
      </xdr:txBody>
    </xdr:sp>
    <xdr:clientData/>
  </xdr:twoCellAnchor>
  <xdr:twoCellAnchor editAs="oneCell">
    <xdr:from>
      <xdr:col>20</xdr:col>
      <xdr:colOff>12960</xdr:colOff>
      <xdr:row>53</xdr:row>
      <xdr:rowOff>7740</xdr:rowOff>
    </xdr:from>
    <xdr:to>
      <xdr:col>21</xdr:col>
      <xdr:colOff>960</xdr:colOff>
      <xdr:row>53</xdr:row>
      <xdr:rowOff>12420</xdr:rowOff>
    </xdr:to>
    <xdr:sp macro="" textlink="">
      <xdr:nvSpPr>
        <xdr:cNvPr id="455" name="Ligne 6">
          <a:extLst>
            <a:ext uri="{FF2B5EF4-FFF2-40B4-BE49-F238E27FC236}">
              <a16:creationId xmlns:a16="http://schemas.microsoft.com/office/drawing/2014/main" id="{DB9CE5AC-86E8-4961-BBD0-20F5BB30C590}"/>
            </a:ext>
          </a:extLst>
        </xdr:cNvPr>
        <xdr:cNvSpPr/>
      </xdr:nvSpPr>
      <xdr:spPr>
        <a:xfrm>
          <a:off x="14605260" y="6351390"/>
          <a:ext cx="78810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12960</xdr:colOff>
      <xdr:row>57</xdr:row>
      <xdr:rowOff>486810</xdr:rowOff>
    </xdr:from>
    <xdr:to>
      <xdr:col>21</xdr:col>
      <xdr:colOff>960</xdr:colOff>
      <xdr:row>57</xdr:row>
      <xdr:rowOff>489058</xdr:rowOff>
    </xdr:to>
    <xdr:sp macro="" textlink="">
      <xdr:nvSpPr>
        <xdr:cNvPr id="456" name="Ligne 7">
          <a:extLst>
            <a:ext uri="{FF2B5EF4-FFF2-40B4-BE49-F238E27FC236}">
              <a16:creationId xmlns:a16="http://schemas.microsoft.com/office/drawing/2014/main" id="{23E19484-7C41-4B41-B371-2ADF782C10F6}"/>
            </a:ext>
          </a:extLst>
        </xdr:cNvPr>
        <xdr:cNvSpPr/>
      </xdr:nvSpPr>
      <xdr:spPr>
        <a:xfrm>
          <a:off x="14605260" y="8021085"/>
          <a:ext cx="78810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23070</xdr:colOff>
      <xdr:row>61</xdr:row>
      <xdr:rowOff>465990</xdr:rowOff>
    </xdr:from>
    <xdr:to>
      <xdr:col>21</xdr:col>
      <xdr:colOff>30360</xdr:colOff>
      <xdr:row>61</xdr:row>
      <xdr:rowOff>477597</xdr:rowOff>
    </xdr:to>
    <xdr:sp macro="" textlink="">
      <xdr:nvSpPr>
        <xdr:cNvPr id="457" name="Ligne 8">
          <a:extLst>
            <a:ext uri="{FF2B5EF4-FFF2-40B4-BE49-F238E27FC236}">
              <a16:creationId xmlns:a16="http://schemas.microsoft.com/office/drawing/2014/main" id="{3D91FF58-2152-4EDA-A613-F0546BE74DBD}"/>
            </a:ext>
          </a:extLst>
        </xdr:cNvPr>
        <xdr:cNvSpPr/>
      </xdr:nvSpPr>
      <xdr:spPr>
        <a:xfrm>
          <a:off x="14615370" y="9590940"/>
          <a:ext cx="80739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21600</xdr:colOff>
      <xdr:row>43</xdr:row>
      <xdr:rowOff>97920</xdr:rowOff>
    </xdr:from>
    <xdr:to>
      <xdr:col>3</xdr:col>
      <xdr:colOff>0</xdr:colOff>
      <xdr:row>43</xdr:row>
      <xdr:rowOff>1524000</xdr:rowOff>
    </xdr:to>
    <xdr:pic>
      <xdr:nvPicPr>
        <xdr:cNvPr id="458" name="Image 61" descr="Une image contenant cercle, Police, logo, symbole&#10;&#10;Description générée automatiquement">
          <a:extLst>
            <a:ext uri="{FF2B5EF4-FFF2-40B4-BE49-F238E27FC236}">
              <a16:creationId xmlns:a16="http://schemas.microsoft.com/office/drawing/2014/main" id="{B5915EDD-38C4-464F-A332-7414BC8784D8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748964" y="17554647"/>
          <a:ext cx="1346536" cy="14260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25</xdr:col>
      <xdr:colOff>302040</xdr:colOff>
      <xdr:row>53</xdr:row>
      <xdr:rowOff>327600</xdr:rowOff>
    </xdr:from>
    <xdr:to>
      <xdr:col>26</xdr:col>
      <xdr:colOff>173520</xdr:colOff>
      <xdr:row>57</xdr:row>
      <xdr:rowOff>160922</xdr:rowOff>
    </xdr:to>
    <xdr:sp macro="" textlink="">
      <xdr:nvSpPr>
        <xdr:cNvPr id="459" name="Forme 2">
          <a:extLst>
            <a:ext uri="{FF2B5EF4-FFF2-40B4-BE49-F238E27FC236}">
              <a16:creationId xmlns:a16="http://schemas.microsoft.com/office/drawing/2014/main" id="{98C3D1BF-D18B-4DB2-BF6D-B3AFC586B5B7}"/>
            </a:ext>
          </a:extLst>
        </xdr:cNvPr>
        <xdr:cNvSpPr/>
      </xdr:nvSpPr>
      <xdr:spPr>
        <a:xfrm>
          <a:off x="18961515" y="6671250"/>
          <a:ext cx="176280" cy="1055985"/>
        </a:xfrm>
        <a:custGeom>
          <a:avLst/>
          <a:gdLst>
            <a:gd name="textAreaLeft" fmla="*/ 0 w 177120"/>
            <a:gd name="textAreaRight" fmla="*/ 124560 w 17712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29</xdr:col>
      <xdr:colOff>573120</xdr:colOff>
      <xdr:row>54</xdr:row>
      <xdr:rowOff>3600</xdr:rowOff>
    </xdr:from>
    <xdr:to>
      <xdr:col>29</xdr:col>
      <xdr:colOff>588600</xdr:colOff>
      <xdr:row>56</xdr:row>
      <xdr:rowOff>7833</xdr:rowOff>
    </xdr:to>
    <xdr:sp macro="" textlink="">
      <xdr:nvSpPr>
        <xdr:cNvPr id="460" name="Ligne verticale 18">
          <a:extLst>
            <a:ext uri="{FF2B5EF4-FFF2-40B4-BE49-F238E27FC236}">
              <a16:creationId xmlns:a16="http://schemas.microsoft.com/office/drawing/2014/main" id="{A42E1B84-5727-421C-A75A-60DE6240CC2F}"/>
            </a:ext>
          </a:extLst>
        </xdr:cNvPr>
        <xdr:cNvSpPr/>
      </xdr:nvSpPr>
      <xdr:spPr>
        <a:xfrm>
          <a:off x="21232845" y="6852075"/>
          <a:ext cx="15480" cy="39216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711720</xdr:colOff>
      <xdr:row>75</xdr:row>
      <xdr:rowOff>482760</xdr:rowOff>
    </xdr:from>
    <xdr:to>
      <xdr:col>35</xdr:col>
      <xdr:colOff>430200</xdr:colOff>
      <xdr:row>76</xdr:row>
      <xdr:rowOff>340103</xdr:rowOff>
    </xdr:to>
    <xdr:sp macro="" textlink="">
      <xdr:nvSpPr>
        <xdr:cNvPr id="461" name="Virage 1">
          <a:extLst>
            <a:ext uri="{FF2B5EF4-FFF2-40B4-BE49-F238E27FC236}">
              <a16:creationId xmlns:a16="http://schemas.microsoft.com/office/drawing/2014/main" id="{A0272FF2-5681-4273-923B-5B7A2D382E4E}"/>
            </a:ext>
          </a:extLst>
        </xdr:cNvPr>
        <xdr:cNvSpPr/>
      </xdr:nvSpPr>
      <xdr:spPr>
        <a:xfrm rot="5400000" flipH="1">
          <a:off x="22344135" y="12083070"/>
          <a:ext cx="373425" cy="5709705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68</xdr:row>
      <xdr:rowOff>43200</xdr:rowOff>
    </xdr:from>
    <xdr:to>
      <xdr:col>21</xdr:col>
      <xdr:colOff>874440</xdr:colOff>
      <xdr:row>70</xdr:row>
      <xdr:rowOff>151566</xdr:rowOff>
    </xdr:to>
    <xdr:sp macro="" textlink="">
      <xdr:nvSpPr>
        <xdr:cNvPr id="462" name="Ligne verticale 16">
          <a:extLst>
            <a:ext uri="{FF2B5EF4-FFF2-40B4-BE49-F238E27FC236}">
              <a16:creationId xmlns:a16="http://schemas.microsoft.com/office/drawing/2014/main" id="{BD4B033D-0B20-4B52-A0A5-1198D9981635}"/>
            </a:ext>
          </a:extLst>
        </xdr:cNvPr>
        <xdr:cNvSpPr/>
      </xdr:nvSpPr>
      <xdr:spPr>
        <a:xfrm>
          <a:off x="16266840" y="12139950"/>
          <a:ext cx="0" cy="48417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77</xdr:row>
      <xdr:rowOff>108000</xdr:rowOff>
    </xdr:from>
    <xdr:to>
      <xdr:col>21</xdr:col>
      <xdr:colOff>874440</xdr:colOff>
      <xdr:row>79</xdr:row>
      <xdr:rowOff>16483</xdr:rowOff>
    </xdr:to>
    <xdr:sp macro="" textlink="">
      <xdr:nvSpPr>
        <xdr:cNvPr id="463" name="Ligne verticale 19">
          <a:extLst>
            <a:ext uri="{FF2B5EF4-FFF2-40B4-BE49-F238E27FC236}">
              <a16:creationId xmlns:a16="http://schemas.microsoft.com/office/drawing/2014/main" id="{D370EE3B-64D8-400A-BE27-42E353D4FF31}"/>
            </a:ext>
          </a:extLst>
        </xdr:cNvPr>
        <xdr:cNvSpPr/>
      </xdr:nvSpPr>
      <xdr:spPr>
        <a:xfrm>
          <a:off x="16266840" y="15386100"/>
          <a:ext cx="0" cy="49210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696240</xdr:colOff>
      <xdr:row>76</xdr:row>
      <xdr:rowOff>4680</xdr:rowOff>
    </xdr:from>
    <xdr:to>
      <xdr:col>24</xdr:col>
      <xdr:colOff>717120</xdr:colOff>
      <xdr:row>77</xdr:row>
      <xdr:rowOff>296785</xdr:rowOff>
    </xdr:to>
    <xdr:sp macro="" textlink="">
      <xdr:nvSpPr>
        <xdr:cNvPr id="464" name="Ligne verticale 20">
          <a:extLst>
            <a:ext uri="{FF2B5EF4-FFF2-40B4-BE49-F238E27FC236}">
              <a16:creationId xmlns:a16="http://schemas.microsoft.com/office/drawing/2014/main" id="{AF077ACE-8CAA-4430-96F2-C0D6B73BA51A}"/>
            </a:ext>
          </a:extLst>
        </xdr:cNvPr>
        <xdr:cNvSpPr/>
      </xdr:nvSpPr>
      <xdr:spPr>
        <a:xfrm flipH="1" flipV="1">
          <a:off x="18174615" y="14777955"/>
          <a:ext cx="20880" cy="79606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270720</xdr:colOff>
      <xdr:row>67</xdr:row>
      <xdr:rowOff>25200</xdr:rowOff>
    </xdr:from>
    <xdr:to>
      <xdr:col>20</xdr:col>
      <xdr:colOff>792360</xdr:colOff>
      <xdr:row>67</xdr:row>
      <xdr:rowOff>29880</xdr:rowOff>
    </xdr:to>
    <xdr:sp macro="" textlink="">
      <xdr:nvSpPr>
        <xdr:cNvPr id="465" name="Ligne 4">
          <a:extLst>
            <a:ext uri="{FF2B5EF4-FFF2-40B4-BE49-F238E27FC236}">
              <a16:creationId xmlns:a16="http://schemas.microsoft.com/office/drawing/2014/main" id="{CBABC53F-71E9-4C68-A8A5-0B87BC6E70B0}"/>
            </a:ext>
          </a:extLst>
        </xdr:cNvPr>
        <xdr:cNvSpPr/>
      </xdr:nvSpPr>
      <xdr:spPr>
        <a:xfrm>
          <a:off x="14577270" y="11617125"/>
          <a:ext cx="807390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69</xdr:row>
      <xdr:rowOff>37080</xdr:rowOff>
    </xdr:from>
    <xdr:to>
      <xdr:col>25</xdr:col>
      <xdr:colOff>271080</xdr:colOff>
      <xdr:row>69</xdr:row>
      <xdr:rowOff>39600</xdr:rowOff>
    </xdr:to>
    <xdr:sp macro="" textlink="">
      <xdr:nvSpPr>
        <xdr:cNvPr id="466" name="Ligne 9">
          <a:extLst>
            <a:ext uri="{FF2B5EF4-FFF2-40B4-BE49-F238E27FC236}">
              <a16:creationId xmlns:a16="http://schemas.microsoft.com/office/drawing/2014/main" id="{0CAD846F-AF14-48FB-B69C-64FCAE96E5C4}"/>
            </a:ext>
          </a:extLst>
        </xdr:cNvPr>
        <xdr:cNvSpPr/>
      </xdr:nvSpPr>
      <xdr:spPr>
        <a:xfrm>
          <a:off x="16266840" y="12333855"/>
          <a:ext cx="2682765" cy="25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21</xdr:col>
      <xdr:colOff>874440</xdr:colOff>
      <xdr:row>77</xdr:row>
      <xdr:rowOff>349560</xdr:rowOff>
    </xdr:from>
    <xdr:to>
      <xdr:col>26</xdr:col>
      <xdr:colOff>19440</xdr:colOff>
      <xdr:row>77</xdr:row>
      <xdr:rowOff>375393</xdr:rowOff>
    </xdr:to>
    <xdr:sp macro="" textlink="">
      <xdr:nvSpPr>
        <xdr:cNvPr id="467" name="Ligne 10">
          <a:extLst>
            <a:ext uri="{FF2B5EF4-FFF2-40B4-BE49-F238E27FC236}">
              <a16:creationId xmlns:a16="http://schemas.microsoft.com/office/drawing/2014/main" id="{46589EE6-92A8-42D4-A629-03213ACB409B}"/>
            </a:ext>
          </a:extLst>
        </xdr:cNvPr>
        <xdr:cNvSpPr/>
      </xdr:nvSpPr>
      <xdr:spPr>
        <a:xfrm>
          <a:off x="16266840" y="15627660"/>
          <a:ext cx="2716875" cy="3276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24</xdr:col>
      <xdr:colOff>696240</xdr:colOff>
      <xdr:row>69</xdr:row>
      <xdr:rowOff>42120</xdr:rowOff>
    </xdr:from>
    <xdr:to>
      <xdr:col>24</xdr:col>
      <xdr:colOff>696240</xdr:colOff>
      <xdr:row>71</xdr:row>
      <xdr:rowOff>24692</xdr:rowOff>
    </xdr:to>
    <xdr:sp macro="" textlink="">
      <xdr:nvSpPr>
        <xdr:cNvPr id="468" name="Ligne verticale 21">
          <a:extLst>
            <a:ext uri="{FF2B5EF4-FFF2-40B4-BE49-F238E27FC236}">
              <a16:creationId xmlns:a16="http://schemas.microsoft.com/office/drawing/2014/main" id="{5DC71B5B-D78C-4947-9560-9488C5D29077}"/>
            </a:ext>
          </a:extLst>
        </xdr:cNvPr>
        <xdr:cNvSpPr/>
      </xdr:nvSpPr>
      <xdr:spPr>
        <a:xfrm>
          <a:off x="18174615" y="12338895"/>
          <a:ext cx="0" cy="6527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33</xdr:col>
      <xdr:colOff>584640</xdr:colOff>
      <xdr:row>70</xdr:row>
      <xdr:rowOff>18720</xdr:rowOff>
    </xdr:from>
    <xdr:to>
      <xdr:col>33</xdr:col>
      <xdr:colOff>635400</xdr:colOff>
      <xdr:row>76</xdr:row>
      <xdr:rowOff>172692</xdr:rowOff>
    </xdr:to>
    <xdr:sp macro="" textlink="">
      <xdr:nvSpPr>
        <xdr:cNvPr id="469" name="Ligne verticale 23">
          <a:extLst>
            <a:ext uri="{FF2B5EF4-FFF2-40B4-BE49-F238E27FC236}">
              <a16:creationId xmlns:a16="http://schemas.microsoft.com/office/drawing/2014/main" id="{58749E06-EBDF-4AC2-A13F-10DAD22660C1}"/>
            </a:ext>
          </a:extLst>
        </xdr:cNvPr>
        <xdr:cNvSpPr/>
      </xdr:nvSpPr>
      <xdr:spPr>
        <a:xfrm flipH="1" flipV="1">
          <a:off x="24073290" y="12591720"/>
          <a:ext cx="50760" cy="233779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217080</xdr:colOff>
      <xdr:row>71</xdr:row>
      <xdr:rowOff>420840</xdr:rowOff>
    </xdr:from>
    <xdr:to>
      <xdr:col>31</xdr:col>
      <xdr:colOff>40320</xdr:colOff>
      <xdr:row>71</xdr:row>
      <xdr:rowOff>425433</xdr:rowOff>
    </xdr:to>
    <xdr:sp macro="" textlink="">
      <xdr:nvSpPr>
        <xdr:cNvPr id="470" name="Ligne 11">
          <a:extLst>
            <a:ext uri="{FF2B5EF4-FFF2-40B4-BE49-F238E27FC236}">
              <a16:creationId xmlns:a16="http://schemas.microsoft.com/office/drawing/2014/main" id="{96CC3D18-7084-4CE8-9434-3C10BFA572BD}"/>
            </a:ext>
          </a:extLst>
        </xdr:cNvPr>
        <xdr:cNvSpPr/>
      </xdr:nvSpPr>
      <xdr:spPr>
        <a:xfrm flipV="1">
          <a:off x="19181355" y="13498665"/>
          <a:ext cx="2909340" cy="115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1164240</xdr:colOff>
      <xdr:row>64</xdr:row>
      <xdr:rowOff>178290</xdr:rowOff>
    </xdr:from>
    <xdr:to>
      <xdr:col>21</xdr:col>
      <xdr:colOff>874080</xdr:colOff>
      <xdr:row>65</xdr:row>
      <xdr:rowOff>228600</xdr:rowOff>
    </xdr:to>
    <xdr:sp macro="" textlink="">
      <xdr:nvSpPr>
        <xdr:cNvPr id="471" name="ZoneTexte 2">
          <a:extLst>
            <a:ext uri="{FF2B5EF4-FFF2-40B4-BE49-F238E27FC236}">
              <a16:creationId xmlns:a16="http://schemas.microsoft.com/office/drawing/2014/main" id="{45135708-ABC6-46E7-9893-46A2D04662D9}"/>
            </a:ext>
          </a:extLst>
        </xdr:cNvPr>
        <xdr:cNvSpPr/>
      </xdr:nvSpPr>
      <xdr:spPr>
        <a:xfrm>
          <a:off x="13822965" y="10665315"/>
          <a:ext cx="2443515" cy="345585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300" b="1" strike="noStrike" spc="-1">
              <a:latin typeface="Calibri"/>
            </a:rPr>
            <a:t>Gagnants</a:t>
          </a:r>
          <a:endParaRPr lang="fr-FR" sz="1300" b="0" strike="noStrike" spc="-1">
            <a:latin typeface="Times New Roman"/>
          </a:endParaRPr>
        </a:p>
      </xdr:txBody>
    </xdr:sp>
    <xdr:clientData/>
  </xdr:twoCellAnchor>
  <xdr:twoCellAnchor editAs="oneCell">
    <xdr:from>
      <xdr:col>20</xdr:col>
      <xdr:colOff>18468</xdr:colOff>
      <xdr:row>70</xdr:row>
      <xdr:rowOff>506825</xdr:rowOff>
    </xdr:from>
    <xdr:to>
      <xdr:col>21</xdr:col>
      <xdr:colOff>12916</xdr:colOff>
      <xdr:row>71</xdr:row>
      <xdr:rowOff>12560</xdr:rowOff>
    </xdr:to>
    <xdr:sp macro="" textlink="">
      <xdr:nvSpPr>
        <xdr:cNvPr id="472" name="Ligne 12">
          <a:extLst>
            <a:ext uri="{FF2B5EF4-FFF2-40B4-BE49-F238E27FC236}">
              <a16:creationId xmlns:a16="http://schemas.microsoft.com/office/drawing/2014/main" id="{929DA7EF-C8CD-45F3-9313-56C89432ADD5}"/>
            </a:ext>
          </a:extLst>
        </xdr:cNvPr>
        <xdr:cNvSpPr/>
      </xdr:nvSpPr>
      <xdr:spPr>
        <a:xfrm>
          <a:off x="14610768" y="13079825"/>
          <a:ext cx="794548" cy="1035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295560</xdr:colOff>
      <xdr:row>75</xdr:row>
      <xdr:rowOff>333000</xdr:rowOff>
    </xdr:from>
    <xdr:to>
      <xdr:col>21</xdr:col>
      <xdr:colOff>793</xdr:colOff>
      <xdr:row>75</xdr:row>
      <xdr:rowOff>335247</xdr:rowOff>
    </xdr:to>
    <xdr:sp macro="" textlink="">
      <xdr:nvSpPr>
        <xdr:cNvPr id="473" name="Ligne 13">
          <a:extLst>
            <a:ext uri="{FF2B5EF4-FFF2-40B4-BE49-F238E27FC236}">
              <a16:creationId xmlns:a16="http://schemas.microsoft.com/office/drawing/2014/main" id="{D3E44138-6B3D-4DEB-B9EC-5B4910740607}"/>
            </a:ext>
          </a:extLst>
        </xdr:cNvPr>
        <xdr:cNvSpPr/>
      </xdr:nvSpPr>
      <xdr:spPr>
        <a:xfrm>
          <a:off x="14592585" y="14601450"/>
          <a:ext cx="797145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19</xdr:col>
      <xdr:colOff>294120</xdr:colOff>
      <xdr:row>80</xdr:row>
      <xdr:rowOff>16560</xdr:rowOff>
    </xdr:from>
    <xdr:to>
      <xdr:col>21</xdr:col>
      <xdr:colOff>73</xdr:colOff>
      <xdr:row>80</xdr:row>
      <xdr:rowOff>21240</xdr:rowOff>
    </xdr:to>
    <xdr:sp macro="" textlink="">
      <xdr:nvSpPr>
        <xdr:cNvPr id="474" name="Ligne 14">
          <a:extLst>
            <a:ext uri="{FF2B5EF4-FFF2-40B4-BE49-F238E27FC236}">
              <a16:creationId xmlns:a16="http://schemas.microsoft.com/office/drawing/2014/main" id="{174B5E1B-3C23-49E3-BDCB-B340CA9D4EF9}"/>
            </a:ext>
          </a:extLst>
        </xdr:cNvPr>
        <xdr:cNvSpPr/>
      </xdr:nvSpPr>
      <xdr:spPr>
        <a:xfrm>
          <a:off x="14591145" y="16380510"/>
          <a:ext cx="797865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25</xdr:col>
      <xdr:colOff>278280</xdr:colOff>
      <xdr:row>71</xdr:row>
      <xdr:rowOff>185400</xdr:rowOff>
    </xdr:from>
    <xdr:to>
      <xdr:col>26</xdr:col>
      <xdr:colOff>150480</xdr:colOff>
      <xdr:row>75</xdr:row>
      <xdr:rowOff>18721</xdr:rowOff>
    </xdr:to>
    <xdr:sp macro="" textlink="">
      <xdr:nvSpPr>
        <xdr:cNvPr id="475" name="Forme 1">
          <a:extLst>
            <a:ext uri="{FF2B5EF4-FFF2-40B4-BE49-F238E27FC236}">
              <a16:creationId xmlns:a16="http://schemas.microsoft.com/office/drawing/2014/main" id="{458C5118-9908-45AF-AF89-A9684F87C544}"/>
            </a:ext>
          </a:extLst>
        </xdr:cNvPr>
        <xdr:cNvSpPr/>
      </xdr:nvSpPr>
      <xdr:spPr>
        <a:xfrm>
          <a:off x="18956805" y="13263225"/>
          <a:ext cx="157950" cy="1055985"/>
        </a:xfrm>
        <a:custGeom>
          <a:avLst/>
          <a:gdLst>
            <a:gd name="textAreaLeft" fmla="*/ 0 w 177840"/>
            <a:gd name="textAreaRight" fmla="*/ 124920 w 17784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29</xdr:col>
      <xdr:colOff>588600</xdr:colOff>
      <xdr:row>71</xdr:row>
      <xdr:rowOff>484920</xdr:rowOff>
    </xdr:from>
    <xdr:to>
      <xdr:col>29</xdr:col>
      <xdr:colOff>604080</xdr:colOff>
      <xdr:row>73</xdr:row>
      <xdr:rowOff>84356</xdr:rowOff>
    </xdr:to>
    <xdr:sp macro="" textlink="">
      <xdr:nvSpPr>
        <xdr:cNvPr id="476" name="Ligne verticale 24">
          <a:extLst>
            <a:ext uri="{FF2B5EF4-FFF2-40B4-BE49-F238E27FC236}">
              <a16:creationId xmlns:a16="http://schemas.microsoft.com/office/drawing/2014/main" id="{5364CEA2-7801-4F6D-9391-59ECF419537E}"/>
            </a:ext>
          </a:extLst>
        </xdr:cNvPr>
        <xdr:cNvSpPr/>
      </xdr:nvSpPr>
      <xdr:spPr>
        <a:xfrm>
          <a:off x="21248325" y="13562745"/>
          <a:ext cx="15480" cy="39261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402480</xdr:colOff>
      <xdr:row>52</xdr:row>
      <xdr:rowOff>158040</xdr:rowOff>
    </xdr:from>
    <xdr:to>
      <xdr:col>11</xdr:col>
      <xdr:colOff>347400</xdr:colOff>
      <xdr:row>52</xdr:row>
      <xdr:rowOff>452958</xdr:rowOff>
    </xdr:to>
    <xdr:sp macro="" textlink="">
      <xdr:nvSpPr>
        <xdr:cNvPr id="477" name="Virage 2">
          <a:extLst>
            <a:ext uri="{FF2B5EF4-FFF2-40B4-BE49-F238E27FC236}">
              <a16:creationId xmlns:a16="http://schemas.microsoft.com/office/drawing/2014/main" id="{5F625402-1920-4B8E-8D10-3059D86D5D1F}"/>
            </a:ext>
          </a:extLst>
        </xdr:cNvPr>
        <xdr:cNvSpPr/>
      </xdr:nvSpPr>
      <xdr:spPr>
        <a:xfrm rot="16200000" flipH="1">
          <a:off x="4095930" y="3046365"/>
          <a:ext cx="292320" cy="6193320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608760</xdr:colOff>
      <xdr:row>57</xdr:row>
      <xdr:rowOff>491400</xdr:rowOff>
    </xdr:from>
    <xdr:to>
      <xdr:col>13</xdr:col>
      <xdr:colOff>612360</xdr:colOff>
      <xdr:row>59</xdr:row>
      <xdr:rowOff>176572</xdr:rowOff>
    </xdr:to>
    <xdr:sp macro="" textlink="">
      <xdr:nvSpPr>
        <xdr:cNvPr id="478" name="Ligne verticale 27">
          <a:extLst>
            <a:ext uri="{FF2B5EF4-FFF2-40B4-BE49-F238E27FC236}">
              <a16:creationId xmlns:a16="http://schemas.microsoft.com/office/drawing/2014/main" id="{EC4ADAF8-E09B-4863-B0ED-0B10B31767D6}"/>
            </a:ext>
          </a:extLst>
        </xdr:cNvPr>
        <xdr:cNvSpPr/>
      </xdr:nvSpPr>
      <xdr:spPr>
        <a:xfrm flipV="1">
          <a:off x="9133635" y="8025675"/>
          <a:ext cx="3600" cy="64893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89280</xdr:colOff>
      <xdr:row>51</xdr:row>
      <xdr:rowOff>14400</xdr:rowOff>
    </xdr:from>
    <xdr:to>
      <xdr:col>16</xdr:col>
      <xdr:colOff>342360</xdr:colOff>
      <xdr:row>51</xdr:row>
      <xdr:rowOff>19440</xdr:rowOff>
    </xdr:to>
    <xdr:sp macro="" textlink="">
      <xdr:nvSpPr>
        <xdr:cNvPr id="479" name="Ligne 16">
          <a:extLst>
            <a:ext uri="{FF2B5EF4-FFF2-40B4-BE49-F238E27FC236}">
              <a16:creationId xmlns:a16="http://schemas.microsoft.com/office/drawing/2014/main" id="{6976E7FF-16AC-426E-9DAA-E62E949F6469}"/>
            </a:ext>
          </a:extLst>
        </xdr:cNvPr>
        <xdr:cNvSpPr/>
      </xdr:nvSpPr>
      <xdr:spPr>
        <a:xfrm flipH="1" flipV="1">
          <a:off x="8366505" y="5577000"/>
          <a:ext cx="2329530" cy="50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97200</xdr:colOff>
      <xdr:row>59</xdr:row>
      <xdr:rowOff>295920</xdr:rowOff>
    </xdr:from>
    <xdr:to>
      <xdr:col>16</xdr:col>
      <xdr:colOff>322920</xdr:colOff>
      <xdr:row>59</xdr:row>
      <xdr:rowOff>343332</xdr:rowOff>
    </xdr:to>
    <xdr:sp macro="" textlink="">
      <xdr:nvSpPr>
        <xdr:cNvPr id="480" name="Ligne 17">
          <a:extLst>
            <a:ext uri="{FF2B5EF4-FFF2-40B4-BE49-F238E27FC236}">
              <a16:creationId xmlns:a16="http://schemas.microsoft.com/office/drawing/2014/main" id="{6DE41BFE-D2D6-43EA-A45E-375D3FE3306C}"/>
            </a:ext>
          </a:extLst>
        </xdr:cNvPr>
        <xdr:cNvSpPr/>
      </xdr:nvSpPr>
      <xdr:spPr>
        <a:xfrm flipH="1">
          <a:off x="8374425" y="8839845"/>
          <a:ext cx="2302170" cy="3096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678240</xdr:colOff>
      <xdr:row>51</xdr:row>
      <xdr:rowOff>15120</xdr:rowOff>
    </xdr:from>
    <xdr:to>
      <xdr:col>13</xdr:col>
      <xdr:colOff>678240</xdr:colOff>
      <xdr:row>52</xdr:row>
      <xdr:rowOff>396011</xdr:rowOff>
    </xdr:to>
    <xdr:sp macro="" textlink="">
      <xdr:nvSpPr>
        <xdr:cNvPr id="481" name="Ligne verticale 28">
          <a:extLst>
            <a:ext uri="{FF2B5EF4-FFF2-40B4-BE49-F238E27FC236}">
              <a16:creationId xmlns:a16="http://schemas.microsoft.com/office/drawing/2014/main" id="{0735B800-1F81-4057-868E-8DF491B701DE}"/>
            </a:ext>
          </a:extLst>
        </xdr:cNvPr>
        <xdr:cNvSpPr/>
      </xdr:nvSpPr>
      <xdr:spPr>
        <a:xfrm>
          <a:off x="9203115" y="5577720"/>
          <a:ext cx="0" cy="6527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409320</xdr:colOff>
      <xdr:row>52</xdr:row>
      <xdr:rowOff>56520</xdr:rowOff>
    </xdr:from>
    <xdr:to>
      <xdr:col>11</xdr:col>
      <xdr:colOff>426240</xdr:colOff>
      <xdr:row>58</xdr:row>
      <xdr:rowOff>386724</xdr:rowOff>
    </xdr:to>
    <xdr:sp macro="" textlink="">
      <xdr:nvSpPr>
        <xdr:cNvPr id="482" name="Ligne verticale 29">
          <a:extLst>
            <a:ext uri="{FF2B5EF4-FFF2-40B4-BE49-F238E27FC236}">
              <a16:creationId xmlns:a16="http://schemas.microsoft.com/office/drawing/2014/main" id="{6840F927-EF3F-4A66-8DB8-85062BC28845}"/>
            </a:ext>
          </a:extLst>
        </xdr:cNvPr>
        <xdr:cNvSpPr/>
      </xdr:nvSpPr>
      <xdr:spPr>
        <a:xfrm>
          <a:off x="7400670" y="5895345"/>
          <a:ext cx="16920" cy="245947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4</xdr:col>
      <xdr:colOff>446400</xdr:colOff>
      <xdr:row>52</xdr:row>
      <xdr:rowOff>225000</xdr:rowOff>
    </xdr:from>
    <xdr:to>
      <xdr:col>4</xdr:col>
      <xdr:colOff>453960</xdr:colOff>
      <xdr:row>59</xdr:row>
      <xdr:rowOff>123924</xdr:rowOff>
    </xdr:to>
    <xdr:sp macro="" textlink="">
      <xdr:nvSpPr>
        <xdr:cNvPr id="483" name="Ligne verticale 30">
          <a:extLst>
            <a:ext uri="{FF2B5EF4-FFF2-40B4-BE49-F238E27FC236}">
              <a16:creationId xmlns:a16="http://schemas.microsoft.com/office/drawing/2014/main" id="{513E877C-1AE6-4DEE-849B-476758108C9E}"/>
            </a:ext>
          </a:extLst>
        </xdr:cNvPr>
        <xdr:cNvSpPr/>
      </xdr:nvSpPr>
      <xdr:spPr>
        <a:xfrm flipH="1">
          <a:off x="2837175" y="6063825"/>
          <a:ext cx="7560" cy="247587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7</xdr:col>
      <xdr:colOff>62280</xdr:colOff>
      <xdr:row>53</xdr:row>
      <xdr:rowOff>315720</xdr:rowOff>
    </xdr:from>
    <xdr:to>
      <xdr:col>11</xdr:col>
      <xdr:colOff>1163160</xdr:colOff>
      <xdr:row>53</xdr:row>
      <xdr:rowOff>348032</xdr:rowOff>
    </xdr:to>
    <xdr:sp macro="" textlink="">
      <xdr:nvSpPr>
        <xdr:cNvPr id="484" name="Ligne 18">
          <a:extLst>
            <a:ext uri="{FF2B5EF4-FFF2-40B4-BE49-F238E27FC236}">
              <a16:creationId xmlns:a16="http://schemas.microsoft.com/office/drawing/2014/main" id="{C52449CB-CDAF-4777-BCDF-053FC80812CE}"/>
            </a:ext>
          </a:extLst>
        </xdr:cNvPr>
        <xdr:cNvSpPr/>
      </xdr:nvSpPr>
      <xdr:spPr>
        <a:xfrm flipH="1">
          <a:off x="5091480" y="6659370"/>
          <a:ext cx="3063030" cy="392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1121400</xdr:colOff>
      <xdr:row>53</xdr:row>
      <xdr:rowOff>291600</xdr:rowOff>
    </xdr:from>
    <xdr:to>
      <xdr:col>12</xdr:col>
      <xdr:colOff>3120</xdr:colOff>
      <xdr:row>57</xdr:row>
      <xdr:rowOff>124922</xdr:rowOff>
    </xdr:to>
    <xdr:sp macro="" textlink="">
      <xdr:nvSpPr>
        <xdr:cNvPr id="485" name="Forme 3">
          <a:extLst>
            <a:ext uri="{FF2B5EF4-FFF2-40B4-BE49-F238E27FC236}">
              <a16:creationId xmlns:a16="http://schemas.microsoft.com/office/drawing/2014/main" id="{FC0DEBAA-A8B5-4A5B-950B-E9F2A8071135}"/>
            </a:ext>
          </a:extLst>
        </xdr:cNvPr>
        <xdr:cNvSpPr/>
      </xdr:nvSpPr>
      <xdr:spPr>
        <a:xfrm flipH="1">
          <a:off x="8112750" y="6635250"/>
          <a:ext cx="167595" cy="1055985"/>
        </a:xfrm>
        <a:custGeom>
          <a:avLst/>
          <a:gdLst>
            <a:gd name="textAreaLeft" fmla="*/ -360 w 177120"/>
            <a:gd name="textAreaRight" fmla="*/ 124200 w 17712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8</xdr:col>
      <xdr:colOff>1022760</xdr:colOff>
      <xdr:row>53</xdr:row>
      <xdr:rowOff>394920</xdr:rowOff>
    </xdr:from>
    <xdr:to>
      <xdr:col>8</xdr:col>
      <xdr:colOff>1027080</xdr:colOff>
      <xdr:row>56</xdr:row>
      <xdr:rowOff>34016</xdr:rowOff>
    </xdr:to>
    <xdr:sp macro="" textlink="">
      <xdr:nvSpPr>
        <xdr:cNvPr id="486" name="Ligne verticale 31">
          <a:extLst>
            <a:ext uri="{FF2B5EF4-FFF2-40B4-BE49-F238E27FC236}">
              <a16:creationId xmlns:a16="http://schemas.microsoft.com/office/drawing/2014/main" id="{7910606C-1A66-42DC-9313-E812584B7D8F}"/>
            </a:ext>
          </a:extLst>
        </xdr:cNvPr>
        <xdr:cNvSpPr/>
      </xdr:nvSpPr>
      <xdr:spPr>
        <a:xfrm flipH="1">
          <a:off x="6318660" y="6738570"/>
          <a:ext cx="4320" cy="54310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154080</xdr:colOff>
      <xdr:row>75</xdr:row>
      <xdr:rowOff>454680</xdr:rowOff>
    </xdr:from>
    <xdr:to>
      <xdr:col>11</xdr:col>
      <xdr:colOff>560520</xdr:colOff>
      <xdr:row>76</xdr:row>
      <xdr:rowOff>245783</xdr:rowOff>
    </xdr:to>
    <xdr:sp macro="" textlink="">
      <xdr:nvSpPr>
        <xdr:cNvPr id="487" name="Virage 3">
          <a:extLst>
            <a:ext uri="{FF2B5EF4-FFF2-40B4-BE49-F238E27FC236}">
              <a16:creationId xmlns:a16="http://schemas.microsoft.com/office/drawing/2014/main" id="{06472546-AF21-4394-814B-009694A8E45C}"/>
            </a:ext>
          </a:extLst>
        </xdr:cNvPr>
        <xdr:cNvSpPr/>
      </xdr:nvSpPr>
      <xdr:spPr>
        <a:xfrm rot="16200000">
          <a:off x="4070857" y="11549303"/>
          <a:ext cx="307185" cy="6654840"/>
        </a:xfrm>
        <a:prstGeom prst="bentArrow">
          <a:avLst>
            <a:gd name="adj1" fmla="val 29565"/>
            <a:gd name="adj2" fmla="val 36877"/>
            <a:gd name="adj3" fmla="val 50000"/>
            <a:gd name="adj4" fmla="val 21608"/>
          </a:avLst>
        </a:prstGeom>
        <a:solidFill>
          <a:srgbClr val="81D41A"/>
        </a:solidFill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600840</xdr:colOff>
      <xdr:row>75</xdr:row>
      <xdr:rowOff>472320</xdr:rowOff>
    </xdr:from>
    <xdr:to>
      <xdr:col>13</xdr:col>
      <xdr:colOff>604440</xdr:colOff>
      <xdr:row>77</xdr:row>
      <xdr:rowOff>191218</xdr:rowOff>
    </xdr:to>
    <xdr:sp macro="" textlink="">
      <xdr:nvSpPr>
        <xdr:cNvPr id="488" name="Ligne verticale 35">
          <a:extLst>
            <a:ext uri="{FF2B5EF4-FFF2-40B4-BE49-F238E27FC236}">
              <a16:creationId xmlns:a16="http://schemas.microsoft.com/office/drawing/2014/main" id="{9A891AE7-5C3D-40D0-BC2E-02A7E04E8FE7}"/>
            </a:ext>
          </a:extLst>
        </xdr:cNvPr>
        <xdr:cNvSpPr/>
      </xdr:nvSpPr>
      <xdr:spPr>
        <a:xfrm flipV="1">
          <a:off x="9125715" y="14740770"/>
          <a:ext cx="3600" cy="73461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23040</xdr:colOff>
      <xdr:row>68</xdr:row>
      <xdr:rowOff>201600</xdr:rowOff>
    </xdr:from>
    <xdr:to>
      <xdr:col>16</xdr:col>
      <xdr:colOff>284400</xdr:colOff>
      <xdr:row>68</xdr:row>
      <xdr:rowOff>202635</xdr:rowOff>
    </xdr:to>
    <xdr:sp macro="" textlink="">
      <xdr:nvSpPr>
        <xdr:cNvPr id="489" name="Ligne 15">
          <a:extLst>
            <a:ext uri="{FF2B5EF4-FFF2-40B4-BE49-F238E27FC236}">
              <a16:creationId xmlns:a16="http://schemas.microsoft.com/office/drawing/2014/main" id="{83F79DFA-FD39-4447-935F-E298C56213E4}"/>
            </a:ext>
          </a:extLst>
        </xdr:cNvPr>
        <xdr:cNvSpPr/>
      </xdr:nvSpPr>
      <xdr:spPr>
        <a:xfrm flipH="1" flipV="1">
          <a:off x="8300265" y="12298350"/>
          <a:ext cx="2337810" cy="1035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12</xdr:col>
      <xdr:colOff>30960</xdr:colOff>
      <xdr:row>77</xdr:row>
      <xdr:rowOff>276480</xdr:rowOff>
    </xdr:from>
    <xdr:to>
      <xdr:col>16</xdr:col>
      <xdr:colOff>400680</xdr:colOff>
      <xdr:row>77</xdr:row>
      <xdr:rowOff>300873</xdr:rowOff>
    </xdr:to>
    <xdr:sp macro="" textlink="">
      <xdr:nvSpPr>
        <xdr:cNvPr id="490" name="Ligne 19">
          <a:extLst>
            <a:ext uri="{FF2B5EF4-FFF2-40B4-BE49-F238E27FC236}">
              <a16:creationId xmlns:a16="http://schemas.microsoft.com/office/drawing/2014/main" id="{52F190FD-C3B9-48EB-80DC-F80F24E4EFBD}"/>
            </a:ext>
          </a:extLst>
        </xdr:cNvPr>
        <xdr:cNvSpPr/>
      </xdr:nvSpPr>
      <xdr:spPr>
        <a:xfrm flipH="1">
          <a:off x="8308185" y="15554580"/>
          <a:ext cx="2446170" cy="3132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612360</xdr:colOff>
      <xdr:row>68</xdr:row>
      <xdr:rowOff>202320</xdr:rowOff>
    </xdr:from>
    <xdr:to>
      <xdr:col>13</xdr:col>
      <xdr:colOff>612360</xdr:colOff>
      <xdr:row>71</xdr:row>
      <xdr:rowOff>25011</xdr:rowOff>
    </xdr:to>
    <xdr:sp macro="" textlink="">
      <xdr:nvSpPr>
        <xdr:cNvPr id="491" name="Ligne verticale 36">
          <a:extLst>
            <a:ext uri="{FF2B5EF4-FFF2-40B4-BE49-F238E27FC236}">
              <a16:creationId xmlns:a16="http://schemas.microsoft.com/office/drawing/2014/main" id="{155E755D-AF2A-4BA2-98AF-28C5ABA93F2C}"/>
            </a:ext>
          </a:extLst>
        </xdr:cNvPr>
        <xdr:cNvSpPr/>
      </xdr:nvSpPr>
      <xdr:spPr>
        <a:xfrm>
          <a:off x="9137235" y="12299070"/>
          <a:ext cx="0" cy="64617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649440</xdr:colOff>
      <xdr:row>70</xdr:row>
      <xdr:rowOff>57960</xdr:rowOff>
    </xdr:from>
    <xdr:to>
      <xdr:col>11</xdr:col>
      <xdr:colOff>678240</xdr:colOff>
      <xdr:row>76</xdr:row>
      <xdr:rowOff>374730</xdr:rowOff>
    </xdr:to>
    <xdr:sp macro="" textlink="">
      <xdr:nvSpPr>
        <xdr:cNvPr id="492" name="Ligne verticale 37">
          <a:extLst>
            <a:ext uri="{FF2B5EF4-FFF2-40B4-BE49-F238E27FC236}">
              <a16:creationId xmlns:a16="http://schemas.microsoft.com/office/drawing/2014/main" id="{2A030E09-5DE0-48F5-B8FA-8496767728A6}"/>
            </a:ext>
          </a:extLst>
        </xdr:cNvPr>
        <xdr:cNvSpPr/>
      </xdr:nvSpPr>
      <xdr:spPr>
        <a:xfrm>
          <a:off x="7640790" y="12630960"/>
          <a:ext cx="28800" cy="249799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4</xdr:col>
      <xdr:colOff>394920</xdr:colOff>
      <xdr:row>70</xdr:row>
      <xdr:rowOff>21960</xdr:rowOff>
    </xdr:from>
    <xdr:to>
      <xdr:col>4</xdr:col>
      <xdr:colOff>416520</xdr:colOff>
      <xdr:row>76</xdr:row>
      <xdr:rowOff>69372</xdr:rowOff>
    </xdr:to>
    <xdr:sp macro="" textlink="">
      <xdr:nvSpPr>
        <xdr:cNvPr id="493" name="Ligne verticale 38">
          <a:extLst>
            <a:ext uri="{FF2B5EF4-FFF2-40B4-BE49-F238E27FC236}">
              <a16:creationId xmlns:a16="http://schemas.microsoft.com/office/drawing/2014/main" id="{5A172177-A5CD-405B-ACFC-2F1DDC8E582C}"/>
            </a:ext>
          </a:extLst>
        </xdr:cNvPr>
        <xdr:cNvSpPr/>
      </xdr:nvSpPr>
      <xdr:spPr>
        <a:xfrm flipV="1">
          <a:off x="2785695" y="12594960"/>
          <a:ext cx="21600" cy="223123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7</xdr:col>
      <xdr:colOff>89640</xdr:colOff>
      <xdr:row>71</xdr:row>
      <xdr:rowOff>315720</xdr:rowOff>
    </xdr:from>
    <xdr:to>
      <xdr:col>11</xdr:col>
      <xdr:colOff>1085760</xdr:colOff>
      <xdr:row>71</xdr:row>
      <xdr:rowOff>328953</xdr:rowOff>
    </xdr:to>
    <xdr:sp macro="" textlink="">
      <xdr:nvSpPr>
        <xdr:cNvPr id="494" name="Ligne 20">
          <a:extLst>
            <a:ext uri="{FF2B5EF4-FFF2-40B4-BE49-F238E27FC236}">
              <a16:creationId xmlns:a16="http://schemas.microsoft.com/office/drawing/2014/main" id="{FB59FE62-A215-480D-B269-F8C96B5641BC}"/>
            </a:ext>
          </a:extLst>
        </xdr:cNvPr>
        <xdr:cNvSpPr/>
      </xdr:nvSpPr>
      <xdr:spPr>
        <a:xfrm flipH="1">
          <a:off x="5118840" y="13393545"/>
          <a:ext cx="2958270" cy="2016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11</xdr:col>
      <xdr:colOff>1191240</xdr:colOff>
      <xdr:row>71</xdr:row>
      <xdr:rowOff>189720</xdr:rowOff>
    </xdr:from>
    <xdr:to>
      <xdr:col>12</xdr:col>
      <xdr:colOff>6120</xdr:colOff>
      <xdr:row>75</xdr:row>
      <xdr:rowOff>23041</xdr:rowOff>
    </xdr:to>
    <xdr:sp macro="" textlink="">
      <xdr:nvSpPr>
        <xdr:cNvPr id="495" name="Forme 4">
          <a:extLst>
            <a:ext uri="{FF2B5EF4-FFF2-40B4-BE49-F238E27FC236}">
              <a16:creationId xmlns:a16="http://schemas.microsoft.com/office/drawing/2014/main" id="{671BDBC9-ABFD-4AFA-AA2C-E8228E257C42}"/>
            </a:ext>
          </a:extLst>
        </xdr:cNvPr>
        <xdr:cNvSpPr/>
      </xdr:nvSpPr>
      <xdr:spPr>
        <a:xfrm flipH="1">
          <a:off x="8182590" y="13267545"/>
          <a:ext cx="100755" cy="1055985"/>
        </a:xfrm>
        <a:custGeom>
          <a:avLst/>
          <a:gdLst>
            <a:gd name="textAreaLeft" fmla="*/ -360 w 177120"/>
            <a:gd name="textAreaRight" fmla="*/ 124200 w 177120"/>
            <a:gd name="textAreaTop" fmla="*/ 18360 h 1068120"/>
            <a:gd name="textAreaBottom" fmla="*/ 1050120 h 1068120"/>
          </a:gdLst>
          <a:ahLst/>
          <a:cxnLst/>
          <a:rect l="textAreaLeft" t="textAreaTop" r="textAreaRight" b="textAreaBottom"/>
          <a:pathLst>
            <a:path w="21600" h="21600">
              <a:moveTo>
                <a:pt x="0" y="0"/>
              </a:moveTo>
              <a:cubicBezTo>
                <a:pt x="10800" y="0"/>
                <a:pt x="21600" y="378"/>
                <a:pt x="21600" y="756"/>
              </a:cubicBezTo>
              <a:lnTo>
                <a:pt x="21600" y="20844"/>
              </a:lnTo>
              <a:cubicBezTo>
                <a:pt x="21600" y="21222"/>
                <a:pt x="10800" y="21600"/>
                <a:pt x="0" y="21600"/>
              </a:cubicBezTo>
            </a:path>
          </a:pathLst>
        </a:custGeom>
        <a:noFill/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8</xdr:col>
      <xdr:colOff>589680</xdr:colOff>
      <xdr:row>71</xdr:row>
      <xdr:rowOff>374040</xdr:rowOff>
    </xdr:from>
    <xdr:to>
      <xdr:col>8</xdr:col>
      <xdr:colOff>605160</xdr:colOff>
      <xdr:row>72</xdr:row>
      <xdr:rowOff>251542</xdr:rowOff>
    </xdr:to>
    <xdr:sp macro="" textlink="">
      <xdr:nvSpPr>
        <xdr:cNvPr id="496" name="Ligne verticale 39">
          <a:extLst>
            <a:ext uri="{FF2B5EF4-FFF2-40B4-BE49-F238E27FC236}">
              <a16:creationId xmlns:a16="http://schemas.microsoft.com/office/drawing/2014/main" id="{6A10432A-FE57-4618-9BD2-E79B83822786}"/>
            </a:ext>
          </a:extLst>
        </xdr:cNvPr>
        <xdr:cNvSpPr/>
      </xdr:nvSpPr>
      <xdr:spPr>
        <a:xfrm flipH="1">
          <a:off x="5885580" y="13451865"/>
          <a:ext cx="15480" cy="393585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31</xdr:col>
      <xdr:colOff>617040</xdr:colOff>
      <xdr:row>55</xdr:row>
      <xdr:rowOff>90000</xdr:rowOff>
    </xdr:from>
    <xdr:to>
      <xdr:col>31</xdr:col>
      <xdr:colOff>639360</xdr:colOff>
      <xdr:row>71</xdr:row>
      <xdr:rowOff>389354</xdr:rowOff>
    </xdr:to>
    <xdr:sp macro="" textlink="">
      <xdr:nvSpPr>
        <xdr:cNvPr id="497" name="Ligne verticale 3">
          <a:extLst>
            <a:ext uri="{FF2B5EF4-FFF2-40B4-BE49-F238E27FC236}">
              <a16:creationId xmlns:a16="http://schemas.microsoft.com/office/drawing/2014/main" id="{706F8414-F6E4-4FBB-8BC5-4CDB2081C09D}"/>
            </a:ext>
          </a:extLst>
        </xdr:cNvPr>
        <xdr:cNvSpPr/>
      </xdr:nvSpPr>
      <xdr:spPr>
        <a:xfrm flipH="1">
          <a:off x="22667415" y="7214700"/>
          <a:ext cx="22320" cy="570609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29</xdr:col>
      <xdr:colOff>253080</xdr:colOff>
      <xdr:row>58</xdr:row>
      <xdr:rowOff>38880</xdr:rowOff>
    </xdr:from>
    <xdr:to>
      <xdr:col>29</xdr:col>
      <xdr:colOff>266400</xdr:colOff>
      <xdr:row>75</xdr:row>
      <xdr:rowOff>135948</xdr:rowOff>
    </xdr:to>
    <xdr:sp macro="" textlink="">
      <xdr:nvSpPr>
        <xdr:cNvPr id="498" name="Ligne verticale 17">
          <a:extLst>
            <a:ext uri="{FF2B5EF4-FFF2-40B4-BE49-F238E27FC236}">
              <a16:creationId xmlns:a16="http://schemas.microsoft.com/office/drawing/2014/main" id="{6F1F9513-57EF-4DE0-BD3C-2C2EC0CAC149}"/>
            </a:ext>
          </a:extLst>
        </xdr:cNvPr>
        <xdr:cNvSpPr/>
      </xdr:nvSpPr>
      <xdr:spPr>
        <a:xfrm>
          <a:off x="20912805" y="8077980"/>
          <a:ext cx="13320" cy="575232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34</xdr:col>
      <xdr:colOff>27709</xdr:colOff>
      <xdr:row>63</xdr:row>
      <xdr:rowOff>13856</xdr:rowOff>
    </xdr:from>
    <xdr:to>
      <xdr:col>34</xdr:col>
      <xdr:colOff>34592</xdr:colOff>
      <xdr:row>66</xdr:row>
      <xdr:rowOff>85920</xdr:rowOff>
    </xdr:to>
    <xdr:sp macro="" textlink="">
      <xdr:nvSpPr>
        <xdr:cNvPr id="499" name="Ligne verticale 32">
          <a:extLst>
            <a:ext uri="{FF2B5EF4-FFF2-40B4-BE49-F238E27FC236}">
              <a16:creationId xmlns:a16="http://schemas.microsoft.com/office/drawing/2014/main" id="{1335411D-C017-4367-9156-E045E1279C4F}"/>
            </a:ext>
          </a:extLst>
        </xdr:cNvPr>
        <xdr:cNvSpPr/>
      </xdr:nvSpPr>
      <xdr:spPr>
        <a:xfrm>
          <a:off x="24706984" y="10148456"/>
          <a:ext cx="6883" cy="895543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8</xdr:col>
      <xdr:colOff>858600</xdr:colOff>
      <xdr:row>58</xdr:row>
      <xdr:rowOff>0</xdr:rowOff>
    </xdr:from>
    <xdr:to>
      <xdr:col>8</xdr:col>
      <xdr:colOff>895350</xdr:colOff>
      <xdr:row>75</xdr:row>
      <xdr:rowOff>259773</xdr:rowOff>
    </xdr:to>
    <xdr:sp macro="" textlink="">
      <xdr:nvSpPr>
        <xdr:cNvPr id="500" name="Ligne verticale 41">
          <a:extLst>
            <a:ext uri="{FF2B5EF4-FFF2-40B4-BE49-F238E27FC236}">
              <a16:creationId xmlns:a16="http://schemas.microsoft.com/office/drawing/2014/main" id="{F90B7ACC-ACF4-433E-9791-DE99D5894A94}"/>
            </a:ext>
          </a:extLst>
        </xdr:cNvPr>
        <xdr:cNvSpPr/>
      </xdr:nvSpPr>
      <xdr:spPr>
        <a:xfrm>
          <a:off x="6154500" y="8039100"/>
          <a:ext cx="36750" cy="591502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6</xdr:col>
      <xdr:colOff>585000</xdr:colOff>
      <xdr:row>55</xdr:row>
      <xdr:rowOff>17280</xdr:rowOff>
    </xdr:from>
    <xdr:to>
      <xdr:col>6</xdr:col>
      <xdr:colOff>600840</xdr:colOff>
      <xdr:row>71</xdr:row>
      <xdr:rowOff>144642</xdr:rowOff>
    </xdr:to>
    <xdr:sp macro="" textlink="">
      <xdr:nvSpPr>
        <xdr:cNvPr id="501" name="Ligne verticale 42">
          <a:extLst>
            <a:ext uri="{FF2B5EF4-FFF2-40B4-BE49-F238E27FC236}">
              <a16:creationId xmlns:a16="http://schemas.microsoft.com/office/drawing/2014/main" id="{B2840DDA-8190-4EAA-8F14-0983A637496D}"/>
            </a:ext>
          </a:extLst>
        </xdr:cNvPr>
        <xdr:cNvSpPr/>
      </xdr:nvSpPr>
      <xdr:spPr>
        <a:xfrm>
          <a:off x="4414050" y="7141980"/>
          <a:ext cx="15840" cy="552717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4</xdr:col>
      <xdr:colOff>497160</xdr:colOff>
      <xdr:row>63</xdr:row>
      <xdr:rowOff>41040</xdr:rowOff>
    </xdr:from>
    <xdr:to>
      <xdr:col>4</xdr:col>
      <xdr:colOff>498600</xdr:colOff>
      <xdr:row>65</xdr:row>
      <xdr:rowOff>264109</xdr:rowOff>
    </xdr:to>
    <xdr:sp macro="" textlink="">
      <xdr:nvSpPr>
        <xdr:cNvPr id="502" name="Ligne verticale 43">
          <a:extLst>
            <a:ext uri="{FF2B5EF4-FFF2-40B4-BE49-F238E27FC236}">
              <a16:creationId xmlns:a16="http://schemas.microsoft.com/office/drawing/2014/main" id="{7DD09EB2-B3E6-44DA-B492-370EE327FC1F}"/>
            </a:ext>
          </a:extLst>
        </xdr:cNvPr>
        <xdr:cNvSpPr/>
      </xdr:nvSpPr>
      <xdr:spPr>
        <a:xfrm>
          <a:off x="2887935" y="10175640"/>
          <a:ext cx="1440" cy="73482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513720</xdr:colOff>
      <xdr:row>58</xdr:row>
      <xdr:rowOff>56160</xdr:rowOff>
    </xdr:from>
    <xdr:to>
      <xdr:col>2</xdr:col>
      <xdr:colOff>549360</xdr:colOff>
      <xdr:row>71</xdr:row>
      <xdr:rowOff>239088</xdr:rowOff>
    </xdr:to>
    <xdr:sp macro="" textlink="">
      <xdr:nvSpPr>
        <xdr:cNvPr id="503" name="Ligne verticale 44">
          <a:extLst>
            <a:ext uri="{FF2B5EF4-FFF2-40B4-BE49-F238E27FC236}">
              <a16:creationId xmlns:a16="http://schemas.microsoft.com/office/drawing/2014/main" id="{E18469BF-6CE6-4717-B60C-D72E3B806C53}"/>
            </a:ext>
          </a:extLst>
        </xdr:cNvPr>
        <xdr:cNvSpPr/>
      </xdr:nvSpPr>
      <xdr:spPr>
        <a:xfrm>
          <a:off x="1256670" y="8095260"/>
          <a:ext cx="35640" cy="464409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335160</xdr:colOff>
      <xdr:row>47</xdr:row>
      <xdr:rowOff>253440</xdr:rowOff>
    </xdr:from>
    <xdr:to>
      <xdr:col>18</xdr:col>
      <xdr:colOff>666720</xdr:colOff>
      <xdr:row>47</xdr:row>
      <xdr:rowOff>609600</xdr:rowOff>
    </xdr:to>
    <xdr:sp macro="" textlink="">
      <xdr:nvSpPr>
        <xdr:cNvPr id="504" name="ZoneTexte 26">
          <a:extLst>
            <a:ext uri="{FF2B5EF4-FFF2-40B4-BE49-F238E27FC236}">
              <a16:creationId xmlns:a16="http://schemas.microsoft.com/office/drawing/2014/main" id="{802A04F0-822A-44F6-9A25-FDC7F3CE6A5A}"/>
            </a:ext>
          </a:extLst>
        </xdr:cNvPr>
        <xdr:cNvSpPr/>
      </xdr:nvSpPr>
      <xdr:spPr>
        <a:xfrm>
          <a:off x="10688835" y="3977715"/>
          <a:ext cx="2636610" cy="356160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800" b="1" strike="noStrike" spc="-1">
              <a:latin typeface="Calibri"/>
            </a:rPr>
            <a:t>Perdants (P)</a:t>
          </a:r>
          <a:endParaRPr lang="fr-FR" sz="1800" b="0" strike="noStrike" spc="-1">
            <a:latin typeface="Times New Roman"/>
          </a:endParaRPr>
        </a:p>
      </xdr:txBody>
    </xdr:sp>
    <xdr:clientData/>
  </xdr:twoCellAnchor>
  <xdr:twoCellAnchor editAs="oneCell">
    <xdr:from>
      <xdr:col>16</xdr:col>
      <xdr:colOff>291240</xdr:colOff>
      <xdr:row>49</xdr:row>
      <xdr:rowOff>508320</xdr:rowOff>
    </xdr:from>
    <xdr:to>
      <xdr:col>16</xdr:col>
      <xdr:colOff>291240</xdr:colOff>
      <xdr:row>51</xdr:row>
      <xdr:rowOff>273179</xdr:rowOff>
    </xdr:to>
    <xdr:sp macro="" textlink="">
      <xdr:nvSpPr>
        <xdr:cNvPr id="505" name="Ligne verticale 25">
          <a:extLst>
            <a:ext uri="{FF2B5EF4-FFF2-40B4-BE49-F238E27FC236}">
              <a16:creationId xmlns:a16="http://schemas.microsoft.com/office/drawing/2014/main" id="{15459924-1068-4718-B64C-5F45D063A62E}"/>
            </a:ext>
          </a:extLst>
        </xdr:cNvPr>
        <xdr:cNvSpPr/>
      </xdr:nvSpPr>
      <xdr:spPr>
        <a:xfrm>
          <a:off x="10644915" y="5366070"/>
          <a:ext cx="0" cy="47923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295560</xdr:colOff>
      <xdr:row>59</xdr:row>
      <xdr:rowOff>59760</xdr:rowOff>
    </xdr:from>
    <xdr:to>
      <xdr:col>16</xdr:col>
      <xdr:colOff>295560</xdr:colOff>
      <xdr:row>61</xdr:row>
      <xdr:rowOff>75887</xdr:rowOff>
    </xdr:to>
    <xdr:sp macro="" textlink="">
      <xdr:nvSpPr>
        <xdr:cNvPr id="506" name="Ligne verticale 26">
          <a:extLst>
            <a:ext uri="{FF2B5EF4-FFF2-40B4-BE49-F238E27FC236}">
              <a16:creationId xmlns:a16="http://schemas.microsoft.com/office/drawing/2014/main" id="{59C532AA-074B-41FA-8A76-268FE9C4AB6B}"/>
            </a:ext>
          </a:extLst>
        </xdr:cNvPr>
        <xdr:cNvSpPr/>
      </xdr:nvSpPr>
      <xdr:spPr>
        <a:xfrm>
          <a:off x="10649235" y="8603685"/>
          <a:ext cx="0" cy="49584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256680</xdr:colOff>
      <xdr:row>67</xdr:row>
      <xdr:rowOff>485280</xdr:rowOff>
    </xdr:from>
    <xdr:to>
      <xdr:col>16</xdr:col>
      <xdr:colOff>256680</xdr:colOff>
      <xdr:row>70</xdr:row>
      <xdr:rowOff>45233</xdr:rowOff>
    </xdr:to>
    <xdr:sp macro="" textlink="">
      <xdr:nvSpPr>
        <xdr:cNvPr id="507" name="Ligne verticale 33">
          <a:extLst>
            <a:ext uri="{FF2B5EF4-FFF2-40B4-BE49-F238E27FC236}">
              <a16:creationId xmlns:a16="http://schemas.microsoft.com/office/drawing/2014/main" id="{766E149E-DA0D-45EF-B5B1-91809811F1C0}"/>
            </a:ext>
          </a:extLst>
        </xdr:cNvPr>
        <xdr:cNvSpPr/>
      </xdr:nvSpPr>
      <xdr:spPr>
        <a:xfrm>
          <a:off x="10610355" y="12077205"/>
          <a:ext cx="0" cy="48561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16</xdr:col>
      <xdr:colOff>308160</xdr:colOff>
      <xdr:row>77</xdr:row>
      <xdr:rowOff>44280</xdr:rowOff>
    </xdr:from>
    <xdr:to>
      <xdr:col>16</xdr:col>
      <xdr:colOff>308160</xdr:colOff>
      <xdr:row>78</xdr:row>
      <xdr:rowOff>164316</xdr:rowOff>
    </xdr:to>
    <xdr:sp macro="" textlink="">
      <xdr:nvSpPr>
        <xdr:cNvPr id="508" name="Ligne verticale 34">
          <a:extLst>
            <a:ext uri="{FF2B5EF4-FFF2-40B4-BE49-F238E27FC236}">
              <a16:creationId xmlns:a16="http://schemas.microsoft.com/office/drawing/2014/main" id="{44F42022-8F48-403B-8B59-DE6C90838603}"/>
            </a:ext>
          </a:extLst>
        </xdr:cNvPr>
        <xdr:cNvSpPr/>
      </xdr:nvSpPr>
      <xdr:spPr>
        <a:xfrm>
          <a:off x="10661835" y="15322380"/>
          <a:ext cx="0" cy="495840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1160640</xdr:colOff>
      <xdr:row>51</xdr:row>
      <xdr:rowOff>41340</xdr:rowOff>
    </xdr:from>
    <xdr:to>
      <xdr:col>21</xdr:col>
      <xdr:colOff>870480</xdr:colOff>
      <xdr:row>52</xdr:row>
      <xdr:rowOff>95250</xdr:rowOff>
    </xdr:to>
    <xdr:sp macro="" textlink="">
      <xdr:nvSpPr>
        <xdr:cNvPr id="509" name="ZoneTexte 1">
          <a:extLst>
            <a:ext uri="{FF2B5EF4-FFF2-40B4-BE49-F238E27FC236}">
              <a16:creationId xmlns:a16="http://schemas.microsoft.com/office/drawing/2014/main" id="{1AA693CE-CED8-45B6-A6E7-BAA157E9A93F}"/>
            </a:ext>
          </a:extLst>
        </xdr:cNvPr>
        <xdr:cNvSpPr/>
      </xdr:nvSpPr>
      <xdr:spPr>
        <a:xfrm>
          <a:off x="13819365" y="5603940"/>
          <a:ext cx="2443515" cy="330135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300" b="1" strike="noStrike" spc="-1">
              <a:latin typeface="Calibri"/>
            </a:rPr>
            <a:t>Gagnants</a:t>
          </a:r>
          <a:endParaRPr lang="fr-FR" sz="1300" b="0" strike="noStrike" spc="-1">
            <a:latin typeface="Times New Roman"/>
          </a:endParaRPr>
        </a:p>
      </xdr:txBody>
    </xdr:sp>
    <xdr:clientData/>
  </xdr:twoCellAnchor>
  <xdr:twoCellAnchor>
    <xdr:from>
      <xdr:col>18</xdr:col>
      <xdr:colOff>1160640</xdr:colOff>
      <xdr:row>56</xdr:row>
      <xdr:rowOff>22290</xdr:rowOff>
    </xdr:from>
    <xdr:to>
      <xdr:col>21</xdr:col>
      <xdr:colOff>870480</xdr:colOff>
      <xdr:row>57</xdr:row>
      <xdr:rowOff>57150</xdr:rowOff>
    </xdr:to>
    <xdr:sp macro="" textlink="">
      <xdr:nvSpPr>
        <xdr:cNvPr id="510" name="ZoneTexte 1">
          <a:extLst>
            <a:ext uri="{FF2B5EF4-FFF2-40B4-BE49-F238E27FC236}">
              <a16:creationId xmlns:a16="http://schemas.microsoft.com/office/drawing/2014/main" id="{0847732B-DBCB-4777-AAC9-6A2A590CF41A}"/>
            </a:ext>
          </a:extLst>
        </xdr:cNvPr>
        <xdr:cNvSpPr/>
      </xdr:nvSpPr>
      <xdr:spPr>
        <a:xfrm>
          <a:off x="13819365" y="7251765"/>
          <a:ext cx="2443515" cy="339660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300" b="1" strike="noStrike" spc="-1">
              <a:latin typeface="Calibri"/>
            </a:rPr>
            <a:t>Gagnants</a:t>
          </a:r>
          <a:endParaRPr lang="fr-FR" sz="1300" b="0" strike="noStrike" spc="-1">
            <a:latin typeface="Times New Roman"/>
          </a:endParaRPr>
        </a:p>
      </xdr:txBody>
    </xdr:sp>
    <xdr:clientData/>
  </xdr:twoCellAnchor>
  <xdr:twoCellAnchor>
    <xdr:from>
      <xdr:col>18</xdr:col>
      <xdr:colOff>1160640</xdr:colOff>
      <xdr:row>59</xdr:row>
      <xdr:rowOff>288990</xdr:rowOff>
    </xdr:from>
    <xdr:to>
      <xdr:col>21</xdr:col>
      <xdr:colOff>870480</xdr:colOff>
      <xdr:row>61</xdr:row>
      <xdr:rowOff>57150</xdr:rowOff>
    </xdr:to>
    <xdr:sp macro="" textlink="">
      <xdr:nvSpPr>
        <xdr:cNvPr id="511" name="ZoneTexte 1">
          <a:extLst>
            <a:ext uri="{FF2B5EF4-FFF2-40B4-BE49-F238E27FC236}">
              <a16:creationId xmlns:a16="http://schemas.microsoft.com/office/drawing/2014/main" id="{831CCC37-0C13-4BA0-B412-D830E6BBEAC0}"/>
            </a:ext>
          </a:extLst>
        </xdr:cNvPr>
        <xdr:cNvSpPr/>
      </xdr:nvSpPr>
      <xdr:spPr>
        <a:xfrm>
          <a:off x="13819365" y="8832915"/>
          <a:ext cx="2443515" cy="349185"/>
        </a:xfrm>
        <a:prstGeom prst="rect">
          <a:avLst/>
        </a:prstGeom>
        <a:noFill/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t">
          <a:noAutofit/>
        </a:bodyPr>
        <a:lstStyle/>
        <a:p>
          <a:pPr algn="ctr">
            <a:lnSpc>
              <a:spcPct val="100000"/>
            </a:lnSpc>
          </a:pPr>
          <a:r>
            <a:rPr lang="fr-FR" sz="1300" b="1" strike="noStrike" spc="-1">
              <a:latin typeface="Calibri"/>
            </a:rPr>
            <a:t>Gagnants</a:t>
          </a:r>
          <a:endParaRPr lang="fr-FR" sz="1300" b="0" strike="noStrike" spc="-1">
            <a:latin typeface="Times New Roman"/>
          </a:endParaRPr>
        </a:p>
      </xdr:txBody>
    </xdr:sp>
    <xdr:clientData/>
  </xdr:twoCellAnchor>
  <xdr:twoCellAnchor editAs="oneCell">
    <xdr:from>
      <xdr:col>26</xdr:col>
      <xdr:colOff>692670</xdr:colOff>
      <xdr:row>70</xdr:row>
      <xdr:rowOff>10200</xdr:rowOff>
    </xdr:from>
    <xdr:to>
      <xdr:col>26</xdr:col>
      <xdr:colOff>710310</xdr:colOff>
      <xdr:row>76</xdr:row>
      <xdr:rowOff>440370</xdr:rowOff>
    </xdr:to>
    <xdr:sp macro="" textlink="">
      <xdr:nvSpPr>
        <xdr:cNvPr id="512" name="Ligne verticale 14">
          <a:extLst>
            <a:ext uri="{FF2B5EF4-FFF2-40B4-BE49-F238E27FC236}">
              <a16:creationId xmlns:a16="http://schemas.microsoft.com/office/drawing/2014/main" id="{A6347943-7D78-4747-A8D0-42075AEE5B7A}"/>
            </a:ext>
          </a:extLst>
        </xdr:cNvPr>
        <xdr:cNvSpPr/>
      </xdr:nvSpPr>
      <xdr:spPr>
        <a:xfrm>
          <a:off x="19656945" y="12583200"/>
          <a:ext cx="17640" cy="2611395"/>
        </a:xfrm>
        <a:prstGeom prst="line">
          <a:avLst/>
        </a:prstGeom>
        <a:ln w="0" cap="rnd">
          <a:solidFill>
            <a:srgbClr val="666666"/>
          </a:solidFill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26</xdr:col>
      <xdr:colOff>232560</xdr:colOff>
      <xdr:row>71</xdr:row>
      <xdr:rowOff>420840</xdr:rowOff>
    </xdr:from>
    <xdr:to>
      <xdr:col>31</xdr:col>
      <xdr:colOff>40320</xdr:colOff>
      <xdr:row>71</xdr:row>
      <xdr:rowOff>424713</xdr:rowOff>
    </xdr:to>
    <xdr:sp macro="" textlink="">
      <xdr:nvSpPr>
        <xdr:cNvPr id="513" name="Ligne 5">
          <a:extLst>
            <a:ext uri="{FF2B5EF4-FFF2-40B4-BE49-F238E27FC236}">
              <a16:creationId xmlns:a16="http://schemas.microsoft.com/office/drawing/2014/main" id="{7D3FC385-27E5-488B-8064-34071A74DA09}"/>
            </a:ext>
          </a:extLst>
        </xdr:cNvPr>
        <xdr:cNvSpPr/>
      </xdr:nvSpPr>
      <xdr:spPr>
        <a:xfrm>
          <a:off x="19196835" y="13498665"/>
          <a:ext cx="2893860" cy="1080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13</xdr:col>
      <xdr:colOff>608760</xdr:colOff>
      <xdr:row>75</xdr:row>
      <xdr:rowOff>491400</xdr:rowOff>
    </xdr:from>
    <xdr:to>
      <xdr:col>13</xdr:col>
      <xdr:colOff>612360</xdr:colOff>
      <xdr:row>77</xdr:row>
      <xdr:rowOff>124618</xdr:rowOff>
    </xdr:to>
    <xdr:sp macro="" textlink="">
      <xdr:nvSpPr>
        <xdr:cNvPr id="514" name="Ligne verticale 27">
          <a:extLst>
            <a:ext uri="{FF2B5EF4-FFF2-40B4-BE49-F238E27FC236}">
              <a16:creationId xmlns:a16="http://schemas.microsoft.com/office/drawing/2014/main" id="{20504439-7DBD-4A85-A9F6-AF1C77236277}"/>
            </a:ext>
          </a:extLst>
        </xdr:cNvPr>
        <xdr:cNvSpPr/>
      </xdr:nvSpPr>
      <xdr:spPr>
        <a:xfrm flipV="1">
          <a:off x="9133635" y="14759850"/>
          <a:ext cx="3600" cy="64893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7</xdr:col>
      <xdr:colOff>62280</xdr:colOff>
      <xdr:row>71</xdr:row>
      <xdr:rowOff>315720</xdr:rowOff>
    </xdr:from>
    <xdr:to>
      <xdr:col>11</xdr:col>
      <xdr:colOff>1163160</xdr:colOff>
      <xdr:row>71</xdr:row>
      <xdr:rowOff>348033</xdr:rowOff>
    </xdr:to>
    <xdr:sp macro="" textlink="">
      <xdr:nvSpPr>
        <xdr:cNvPr id="515" name="Ligne 18">
          <a:extLst>
            <a:ext uri="{FF2B5EF4-FFF2-40B4-BE49-F238E27FC236}">
              <a16:creationId xmlns:a16="http://schemas.microsoft.com/office/drawing/2014/main" id="{712FF3A4-30E9-4E4D-99E4-580D6A0B7C33}"/>
            </a:ext>
          </a:extLst>
        </xdr:cNvPr>
        <xdr:cNvSpPr/>
      </xdr:nvSpPr>
      <xdr:spPr>
        <a:xfrm flipH="1">
          <a:off x="5091480" y="13393545"/>
          <a:ext cx="3063030" cy="3924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oneCellAnchor>
    <xdr:from>
      <xdr:col>16</xdr:col>
      <xdr:colOff>1192320</xdr:colOff>
      <xdr:row>57</xdr:row>
      <xdr:rowOff>470160</xdr:rowOff>
    </xdr:from>
    <xdr:ext cx="861690" cy="1080"/>
    <xdr:sp macro="" textlink="">
      <xdr:nvSpPr>
        <xdr:cNvPr id="516" name="Ligne verticale 4">
          <a:extLst>
            <a:ext uri="{FF2B5EF4-FFF2-40B4-BE49-F238E27FC236}">
              <a16:creationId xmlns:a16="http://schemas.microsoft.com/office/drawing/2014/main" id="{458C705D-367C-4E05-8BBB-18BFE7E8E897}"/>
            </a:ext>
          </a:extLst>
        </xdr:cNvPr>
        <xdr:cNvSpPr/>
      </xdr:nvSpPr>
      <xdr:spPr>
        <a:xfrm flipH="1" flipV="1">
          <a:off x="11545995" y="8004435"/>
          <a:ext cx="861690" cy="1080"/>
        </a:xfrm>
        <a:prstGeom prst="line">
          <a:avLst/>
        </a:prstGeom>
        <a:ln w="90000">
          <a:solidFill>
            <a:srgbClr val="666666"/>
          </a:solidFill>
          <a:custDash>
            <a:ds d="20400" sp="20400"/>
            <a:ds d="20400" sp="20400"/>
          </a:custDash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  <xdr:oneCellAnchor>
    <xdr:from>
      <xdr:col>20</xdr:col>
      <xdr:colOff>18468</xdr:colOff>
      <xdr:row>79</xdr:row>
      <xdr:rowOff>506825</xdr:rowOff>
    </xdr:from>
    <xdr:ext cx="813598" cy="4680"/>
    <xdr:sp macro="" textlink="">
      <xdr:nvSpPr>
        <xdr:cNvPr id="517" name="Ligne 12">
          <a:extLst>
            <a:ext uri="{FF2B5EF4-FFF2-40B4-BE49-F238E27FC236}">
              <a16:creationId xmlns:a16="http://schemas.microsoft.com/office/drawing/2014/main" id="{B057FF78-52B4-43BB-BF99-626FD01A4319}"/>
            </a:ext>
          </a:extLst>
        </xdr:cNvPr>
        <xdr:cNvSpPr/>
      </xdr:nvSpPr>
      <xdr:spPr>
        <a:xfrm>
          <a:off x="14610768" y="16365950"/>
          <a:ext cx="813598" cy="4680"/>
        </a:xfrm>
        <a:prstGeom prst="line">
          <a:avLst/>
        </a:prstGeom>
        <a:ln w="90000">
          <a:solidFill>
            <a:srgbClr val="81D41A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7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153" t="s">
        <v>13</v>
      </c>
      <c r="B1" s="154"/>
      <c r="C1" s="154"/>
      <c r="D1" s="154"/>
      <c r="E1" s="154"/>
      <c r="F1" s="154"/>
      <c r="G1" s="154"/>
      <c r="H1" s="154"/>
      <c r="I1" s="154"/>
      <c r="J1" s="154"/>
      <c r="K1" s="155"/>
    </row>
    <row r="2" spans="1:11" ht="15" customHeight="1" x14ac:dyDescent="0.25">
      <c r="A2" s="156"/>
      <c r="B2" s="157"/>
      <c r="C2" s="157"/>
      <c r="D2" s="157"/>
      <c r="E2" s="157"/>
      <c r="F2" s="157"/>
      <c r="G2" s="157"/>
      <c r="H2" s="157"/>
      <c r="I2" s="157"/>
      <c r="J2" s="157"/>
      <c r="K2" s="158"/>
    </row>
    <row r="3" spans="1:11" ht="15" customHeight="1" x14ac:dyDescent="0.25">
      <c r="A3" s="156"/>
      <c r="B3" s="157"/>
      <c r="C3" s="157"/>
      <c r="D3" s="157"/>
      <c r="E3" s="157"/>
      <c r="F3" s="157"/>
      <c r="G3" s="157"/>
      <c r="H3" s="157"/>
      <c r="I3" s="157"/>
      <c r="J3" s="157"/>
      <c r="K3" s="158"/>
    </row>
    <row r="4" spans="1:11" ht="15" customHeight="1" x14ac:dyDescent="0.25">
      <c r="A4" s="156"/>
      <c r="B4" s="157"/>
      <c r="C4" s="157"/>
      <c r="D4" s="157"/>
      <c r="E4" s="157"/>
      <c r="F4" s="157"/>
      <c r="G4" s="157"/>
      <c r="H4" s="157"/>
      <c r="I4" s="157"/>
      <c r="J4" s="157"/>
      <c r="K4" s="158"/>
    </row>
    <row r="5" spans="1:11" ht="15" customHeight="1" x14ac:dyDescent="0.25">
      <c r="A5" s="156"/>
      <c r="B5" s="157"/>
      <c r="C5" s="157"/>
      <c r="D5" s="157"/>
      <c r="E5" s="157"/>
      <c r="F5" s="157"/>
      <c r="G5" s="157"/>
      <c r="H5" s="157"/>
      <c r="I5" s="157"/>
      <c r="J5" s="157"/>
      <c r="K5" s="158"/>
    </row>
    <row r="6" spans="1:11" ht="15" customHeight="1" x14ac:dyDescent="0.25">
      <c r="A6" s="156"/>
      <c r="B6" s="157"/>
      <c r="C6" s="157"/>
      <c r="D6" s="157"/>
      <c r="E6" s="157"/>
      <c r="F6" s="157"/>
      <c r="G6" s="157"/>
      <c r="H6" s="157"/>
      <c r="I6" s="157"/>
      <c r="J6" s="157"/>
      <c r="K6" s="158"/>
    </row>
    <row r="7" spans="1:11" ht="15" customHeight="1" x14ac:dyDescent="0.25">
      <c r="A7" s="156"/>
      <c r="B7" s="157"/>
      <c r="C7" s="157"/>
      <c r="D7" s="157"/>
      <c r="E7" s="157"/>
      <c r="F7" s="157"/>
      <c r="G7" s="157"/>
      <c r="H7" s="157"/>
      <c r="I7" s="157"/>
      <c r="J7" s="157"/>
      <c r="K7" s="158"/>
    </row>
    <row r="8" spans="1:11" ht="15" customHeight="1" x14ac:dyDescent="0.25">
      <c r="A8" s="156"/>
      <c r="B8" s="157"/>
      <c r="C8" s="157"/>
      <c r="D8" s="157"/>
      <c r="E8" s="157"/>
      <c r="F8" s="157"/>
      <c r="G8" s="157"/>
      <c r="H8" s="157"/>
      <c r="I8" s="157"/>
      <c r="J8" s="157"/>
      <c r="K8" s="158"/>
    </row>
    <row r="9" spans="1:11" ht="15" customHeight="1" x14ac:dyDescent="0.25">
      <c r="A9" s="156"/>
      <c r="B9" s="157"/>
      <c r="C9" s="157"/>
      <c r="D9" s="157"/>
      <c r="E9" s="157"/>
      <c r="F9" s="157"/>
      <c r="G9" s="157"/>
      <c r="H9" s="157"/>
      <c r="I9" s="157"/>
      <c r="J9" s="157"/>
      <c r="K9" s="158"/>
    </row>
    <row r="10" spans="1:11" ht="15" customHeight="1" x14ac:dyDescent="0.25">
      <c r="A10" s="156"/>
      <c r="B10" s="157"/>
      <c r="C10" s="157"/>
      <c r="D10" s="157"/>
      <c r="E10" s="157"/>
      <c r="F10" s="157"/>
      <c r="G10" s="157"/>
      <c r="H10" s="157"/>
      <c r="I10" s="157"/>
      <c r="J10" s="157"/>
      <c r="K10" s="158"/>
    </row>
    <row r="11" spans="1:11" ht="15" customHeight="1" x14ac:dyDescent="0.25">
      <c r="A11" s="156"/>
      <c r="B11" s="157"/>
      <c r="C11" s="157"/>
      <c r="D11" s="157"/>
      <c r="E11" s="157"/>
      <c r="F11" s="157"/>
      <c r="G11" s="157"/>
      <c r="H11" s="157"/>
      <c r="I11" s="157"/>
      <c r="J11" s="157"/>
      <c r="K11" s="158"/>
    </row>
    <row r="12" spans="1:11" ht="15" customHeight="1" x14ac:dyDescent="0.25">
      <c r="A12" s="156"/>
      <c r="B12" s="157"/>
      <c r="C12" s="157"/>
      <c r="D12" s="157"/>
      <c r="E12" s="157"/>
      <c r="F12" s="157"/>
      <c r="G12" s="157"/>
      <c r="H12" s="157"/>
      <c r="I12" s="157"/>
      <c r="J12" s="157"/>
      <c r="K12" s="158"/>
    </row>
    <row r="13" spans="1:11" ht="15" customHeight="1" x14ac:dyDescent="0.25">
      <c r="A13" s="156"/>
      <c r="B13" s="157"/>
      <c r="C13" s="157"/>
      <c r="D13" s="157"/>
      <c r="E13" s="157"/>
      <c r="F13" s="157"/>
      <c r="G13" s="157"/>
      <c r="H13" s="157"/>
      <c r="I13" s="157"/>
      <c r="J13" s="157"/>
      <c r="K13" s="158"/>
    </row>
    <row r="14" spans="1:11" ht="15" customHeight="1" x14ac:dyDescent="0.25">
      <c r="A14" s="156"/>
      <c r="B14" s="157"/>
      <c r="C14" s="157"/>
      <c r="D14" s="157"/>
      <c r="E14" s="157"/>
      <c r="F14" s="157"/>
      <c r="G14" s="157"/>
      <c r="H14" s="157"/>
      <c r="I14" s="157"/>
      <c r="J14" s="157"/>
      <c r="K14" s="158"/>
    </row>
    <row r="15" spans="1:11" ht="15" customHeight="1" x14ac:dyDescent="0.25">
      <c r="A15" s="156"/>
      <c r="B15" s="157"/>
      <c r="C15" s="157"/>
      <c r="D15" s="157"/>
      <c r="E15" s="157"/>
      <c r="F15" s="157"/>
      <c r="G15" s="157"/>
      <c r="H15" s="157"/>
      <c r="I15" s="157"/>
      <c r="J15" s="157"/>
      <c r="K15" s="158"/>
    </row>
    <row r="16" spans="1:11" ht="15" customHeight="1" x14ac:dyDescent="0.25">
      <c r="A16" s="156"/>
      <c r="B16" s="157"/>
      <c r="C16" s="157"/>
      <c r="D16" s="157"/>
      <c r="E16" s="157"/>
      <c r="F16" s="157"/>
      <c r="G16" s="157"/>
      <c r="H16" s="157"/>
      <c r="I16" s="157"/>
      <c r="J16" s="157"/>
      <c r="K16" s="158"/>
    </row>
    <row r="17" spans="1:11" ht="15" customHeight="1" x14ac:dyDescent="0.25">
      <c r="A17" s="156"/>
      <c r="B17" s="157"/>
      <c r="C17" s="157"/>
      <c r="D17" s="157"/>
      <c r="E17" s="157"/>
      <c r="F17" s="157"/>
      <c r="G17" s="157"/>
      <c r="H17" s="157"/>
      <c r="I17" s="157"/>
      <c r="J17" s="157"/>
      <c r="K17" s="158"/>
    </row>
    <row r="18" spans="1:11" ht="15" customHeight="1" x14ac:dyDescent="0.25">
      <c r="A18" s="156"/>
      <c r="B18" s="157"/>
      <c r="C18" s="157"/>
      <c r="D18" s="157"/>
      <c r="E18" s="157"/>
      <c r="F18" s="157"/>
      <c r="G18" s="157"/>
      <c r="H18" s="157"/>
      <c r="I18" s="157"/>
      <c r="J18" s="157"/>
      <c r="K18" s="158"/>
    </row>
    <row r="19" spans="1:11" ht="15" customHeight="1" x14ac:dyDescent="0.25">
      <c r="A19" s="156"/>
      <c r="B19" s="157"/>
      <c r="C19" s="157"/>
      <c r="D19" s="157"/>
      <c r="E19" s="157"/>
      <c r="F19" s="157"/>
      <c r="G19" s="157"/>
      <c r="H19" s="157"/>
      <c r="I19" s="157"/>
      <c r="J19" s="157"/>
      <c r="K19" s="158"/>
    </row>
    <row r="20" spans="1:11" ht="15" customHeight="1" x14ac:dyDescent="0.25">
      <c r="A20" s="156"/>
      <c r="B20" s="157"/>
      <c r="C20" s="157"/>
      <c r="D20" s="157"/>
      <c r="E20" s="157"/>
      <c r="F20" s="157"/>
      <c r="G20" s="157"/>
      <c r="H20" s="157"/>
      <c r="I20" s="157"/>
      <c r="J20" s="157"/>
      <c r="K20" s="158"/>
    </row>
    <row r="21" spans="1:11" ht="15" customHeight="1" x14ac:dyDescent="0.25">
      <c r="A21" s="156"/>
      <c r="B21" s="157"/>
      <c r="C21" s="157"/>
      <c r="D21" s="157"/>
      <c r="E21" s="157"/>
      <c r="F21" s="157"/>
      <c r="G21" s="157"/>
      <c r="H21" s="157"/>
      <c r="I21" s="157"/>
      <c r="J21" s="157"/>
      <c r="K21" s="158"/>
    </row>
    <row r="22" spans="1:11" ht="15" customHeight="1" x14ac:dyDescent="0.25">
      <c r="A22" s="156"/>
      <c r="B22" s="157"/>
      <c r="C22" s="157"/>
      <c r="D22" s="157"/>
      <c r="E22" s="157"/>
      <c r="F22" s="157"/>
      <c r="G22" s="157"/>
      <c r="H22" s="157"/>
      <c r="I22" s="157"/>
      <c r="J22" s="157"/>
      <c r="K22" s="158"/>
    </row>
    <row r="23" spans="1:11" ht="15" customHeight="1" x14ac:dyDescent="0.25">
      <c r="A23" s="150" t="s">
        <v>15</v>
      </c>
      <c r="B23" s="151"/>
      <c r="C23" s="151"/>
      <c r="D23" s="151"/>
      <c r="E23" s="151"/>
      <c r="F23" s="151"/>
      <c r="G23" s="151"/>
      <c r="H23" s="151"/>
      <c r="I23" s="151"/>
      <c r="J23" s="151"/>
      <c r="K23" s="152"/>
    </row>
    <row r="24" spans="1:11" ht="15" customHeight="1" x14ac:dyDescent="0.25">
      <c r="A24" s="150"/>
      <c r="B24" s="151"/>
      <c r="C24" s="151"/>
      <c r="D24" s="151"/>
      <c r="E24" s="151"/>
      <c r="F24" s="151"/>
      <c r="G24" s="151"/>
      <c r="H24" s="151"/>
      <c r="I24" s="151"/>
      <c r="J24" s="151"/>
      <c r="K24" s="152"/>
    </row>
    <row r="25" spans="1:11" ht="15" customHeight="1" x14ac:dyDescent="0.25">
      <c r="A25" s="150"/>
      <c r="B25" s="151"/>
      <c r="C25" s="151"/>
      <c r="D25" s="151"/>
      <c r="E25" s="151"/>
      <c r="F25" s="151"/>
      <c r="G25" s="151"/>
      <c r="H25" s="151"/>
      <c r="I25" s="151"/>
      <c r="J25" s="151"/>
      <c r="K25" s="152"/>
    </row>
    <row r="26" spans="1:11" ht="15" customHeight="1" x14ac:dyDescent="0.25">
      <c r="A26" s="150"/>
      <c r="B26" s="151"/>
      <c r="C26" s="151"/>
      <c r="D26" s="151"/>
      <c r="E26" s="151"/>
      <c r="F26" s="151"/>
      <c r="G26" s="151"/>
      <c r="H26" s="151"/>
      <c r="I26" s="151"/>
      <c r="J26" s="151"/>
      <c r="K26" s="152"/>
    </row>
    <row r="27" spans="1:11" ht="15" customHeight="1" x14ac:dyDescent="0.25">
      <c r="A27" s="135"/>
      <c r="B27" s="136"/>
      <c r="C27" s="136"/>
      <c r="D27" s="136"/>
      <c r="E27" s="136"/>
      <c r="F27" s="136"/>
      <c r="G27" s="136"/>
      <c r="H27" s="136"/>
      <c r="I27" s="136"/>
      <c r="J27" s="136"/>
      <c r="K27" s="137"/>
    </row>
    <row r="28" spans="1:11" ht="15" customHeight="1" thickBot="1" x14ac:dyDescent="0.3">
      <c r="A28" s="138"/>
      <c r="B28" s="139"/>
      <c r="C28" s="139"/>
      <c r="D28" s="139"/>
      <c r="E28" s="139"/>
      <c r="F28" s="139"/>
      <c r="G28" s="139"/>
      <c r="H28" s="139"/>
      <c r="I28" s="139"/>
      <c r="J28" s="139"/>
      <c r="K28" s="140"/>
    </row>
    <row r="29" spans="1:11" ht="15" customHeight="1" x14ac:dyDescent="0.25">
      <c r="A29" s="141" t="s">
        <v>14</v>
      </c>
      <c r="B29" s="142"/>
      <c r="C29" s="142"/>
      <c r="D29" s="142"/>
      <c r="E29" s="142"/>
      <c r="F29" s="142"/>
      <c r="G29" s="142"/>
      <c r="H29" s="142"/>
      <c r="I29" s="142"/>
      <c r="J29" s="142"/>
      <c r="K29" s="143"/>
    </row>
    <row r="30" spans="1:11" ht="15" customHeight="1" x14ac:dyDescent="0.25">
      <c r="A30" s="144"/>
      <c r="B30" s="145"/>
      <c r="C30" s="145"/>
      <c r="D30" s="145"/>
      <c r="E30" s="145"/>
      <c r="F30" s="145"/>
      <c r="G30" s="145"/>
      <c r="H30" s="145"/>
      <c r="I30" s="145"/>
      <c r="J30" s="145"/>
      <c r="K30" s="146"/>
    </row>
    <row r="31" spans="1:11" ht="15" customHeight="1" thickBot="1" x14ac:dyDescent="0.3">
      <c r="A31" s="147"/>
      <c r="B31" s="148"/>
      <c r="C31" s="148"/>
      <c r="D31" s="148"/>
      <c r="E31" s="148"/>
      <c r="F31" s="148"/>
      <c r="G31" s="148"/>
      <c r="H31" s="148"/>
      <c r="I31" s="148"/>
      <c r="J31" s="148"/>
      <c r="K31" s="149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workbookViewId="0">
      <selection activeCell="G28" sqref="G28"/>
    </sheetView>
  </sheetViews>
  <sheetFormatPr baseColWidth="10" defaultRowHeight="15" x14ac:dyDescent="0.25"/>
  <sheetData>
    <row r="1" spans="1:17" x14ac:dyDescent="0.25">
      <c r="A1" s="159" t="s">
        <v>36</v>
      </c>
      <c r="B1" s="159"/>
      <c r="C1" s="159"/>
      <c r="D1" s="159"/>
      <c r="E1" s="159"/>
      <c r="F1" s="159"/>
      <c r="G1" s="159"/>
      <c r="H1" s="159"/>
    </row>
    <row r="2" spans="1:17" x14ac:dyDescent="0.25">
      <c r="A2" s="159"/>
      <c r="B2" s="159"/>
      <c r="C2" s="159"/>
      <c r="D2" s="159"/>
      <c r="E2" s="159"/>
      <c r="F2" s="159"/>
      <c r="G2" s="159"/>
      <c r="H2" s="159"/>
    </row>
    <row r="3" spans="1:17" x14ac:dyDescent="0.25">
      <c r="A3" s="159"/>
      <c r="B3" s="159"/>
      <c r="C3" s="159"/>
      <c r="D3" s="159"/>
      <c r="E3" s="159"/>
      <c r="F3" s="159"/>
      <c r="G3" s="159"/>
      <c r="H3" s="159"/>
    </row>
    <row r="4" spans="1:17" x14ac:dyDescent="0.25">
      <c r="A4" s="160" t="str">
        <f>Parametres!F16</f>
        <v>Version 3.70</v>
      </c>
      <c r="B4" s="160"/>
      <c r="C4" s="160"/>
      <c r="D4" s="160"/>
      <c r="E4" s="160"/>
      <c r="F4" s="160"/>
      <c r="G4" s="160"/>
      <c r="H4" s="160"/>
    </row>
    <row r="6" spans="1:17" x14ac:dyDescent="0.25">
      <c r="K6" s="161" t="s">
        <v>57</v>
      </c>
      <c r="L6" s="162"/>
      <c r="M6" s="162"/>
      <c r="N6" s="162"/>
      <c r="O6" s="162"/>
      <c r="P6" s="162"/>
      <c r="Q6" s="162"/>
    </row>
    <row r="7" spans="1:17" x14ac:dyDescent="0.25">
      <c r="K7" s="162"/>
      <c r="L7" s="162"/>
      <c r="M7" s="162"/>
      <c r="N7" s="162"/>
      <c r="O7" s="162"/>
      <c r="P7" s="162"/>
      <c r="Q7" s="162"/>
    </row>
    <row r="8" spans="1:17" x14ac:dyDescent="0.25">
      <c r="K8" s="162"/>
      <c r="L8" s="162"/>
      <c r="M8" s="162"/>
      <c r="N8" s="162"/>
      <c r="O8" s="162"/>
      <c r="P8" s="162"/>
      <c r="Q8" s="162"/>
    </row>
    <row r="9" spans="1:17" x14ac:dyDescent="0.25">
      <c r="K9" s="162"/>
      <c r="L9" s="162"/>
      <c r="M9" s="162"/>
      <c r="N9" s="162"/>
      <c r="O9" s="162"/>
      <c r="P9" s="162"/>
      <c r="Q9" s="162"/>
    </row>
    <row r="10" spans="1:17" x14ac:dyDescent="0.25">
      <c r="K10" s="162"/>
      <c r="L10" s="162"/>
      <c r="M10" s="162"/>
      <c r="N10" s="162"/>
      <c r="O10" s="162"/>
      <c r="P10" s="162"/>
      <c r="Q10" s="162"/>
    </row>
    <row r="11" spans="1:17" x14ac:dyDescent="0.25">
      <c r="K11" s="162"/>
      <c r="L11" s="162"/>
      <c r="M11" s="162"/>
      <c r="N11" s="162"/>
      <c r="O11" s="162"/>
      <c r="P11" s="162"/>
      <c r="Q11" s="162"/>
    </row>
    <row r="12" spans="1:17" x14ac:dyDescent="0.25">
      <c r="K12" s="162"/>
      <c r="L12" s="162"/>
      <c r="M12" s="162"/>
      <c r="N12" s="162"/>
      <c r="O12" s="162"/>
      <c r="P12" s="162"/>
      <c r="Q12" s="162"/>
    </row>
    <row r="13" spans="1:17" x14ac:dyDescent="0.25">
      <c r="K13" s="162"/>
      <c r="L13" s="162"/>
      <c r="M13" s="162"/>
      <c r="N13" s="162"/>
      <c r="O13" s="162"/>
      <c r="P13" s="162"/>
      <c r="Q13" s="162"/>
    </row>
    <row r="14" spans="1:17" x14ac:dyDescent="0.25">
      <c r="K14" s="162"/>
      <c r="L14" s="162"/>
      <c r="M14" s="162"/>
      <c r="N14" s="162"/>
      <c r="O14" s="162"/>
      <c r="P14" s="162"/>
      <c r="Q14" s="162"/>
    </row>
    <row r="15" spans="1:17" x14ac:dyDescent="0.25">
      <c r="K15" s="162"/>
      <c r="L15" s="162"/>
      <c r="M15" s="162"/>
      <c r="N15" s="162"/>
      <c r="O15" s="162"/>
      <c r="P15" s="162"/>
      <c r="Q15" s="162"/>
    </row>
    <row r="16" spans="1:17" x14ac:dyDescent="0.25">
      <c r="K16" s="162"/>
      <c r="L16" s="162"/>
      <c r="M16" s="162"/>
      <c r="N16" s="162"/>
      <c r="O16" s="162"/>
      <c r="P16" s="162"/>
      <c r="Q16" s="162"/>
    </row>
    <row r="17" spans="11:17" x14ac:dyDescent="0.25">
      <c r="K17" s="162"/>
      <c r="L17" s="162"/>
      <c r="M17" s="162"/>
      <c r="N17" s="162"/>
      <c r="O17" s="162"/>
      <c r="P17" s="162"/>
      <c r="Q17" s="162"/>
    </row>
    <row r="18" spans="11:17" x14ac:dyDescent="0.25">
      <c r="K18" s="162"/>
      <c r="L18" s="162"/>
      <c r="M18" s="162"/>
      <c r="N18" s="162"/>
      <c r="O18" s="162"/>
      <c r="P18" s="162"/>
      <c r="Q18" s="162"/>
    </row>
    <row r="19" spans="11:17" x14ac:dyDescent="0.25">
      <c r="K19" s="162"/>
      <c r="L19" s="162"/>
      <c r="M19" s="162"/>
      <c r="N19" s="162"/>
      <c r="O19" s="162"/>
      <c r="P19" s="162"/>
      <c r="Q19" s="162"/>
    </row>
    <row r="20" spans="11:17" x14ac:dyDescent="0.25">
      <c r="K20" s="162"/>
      <c r="L20" s="162"/>
      <c r="M20" s="162"/>
      <c r="N20" s="162"/>
      <c r="O20" s="162"/>
      <c r="P20" s="162"/>
      <c r="Q20" s="162"/>
    </row>
    <row r="21" spans="11:17" x14ac:dyDescent="0.25">
      <c r="K21" s="162"/>
      <c r="L21" s="162"/>
      <c r="M21" s="162"/>
      <c r="N21" s="162"/>
      <c r="O21" s="162"/>
      <c r="P21" s="162"/>
      <c r="Q21" s="162"/>
    </row>
    <row r="22" spans="11:17" x14ac:dyDescent="0.25">
      <c r="K22" s="162"/>
      <c r="L22" s="162"/>
      <c r="M22" s="162"/>
      <c r="N22" s="162"/>
      <c r="O22" s="162"/>
      <c r="P22" s="162"/>
      <c r="Q22" s="162"/>
    </row>
    <row r="23" spans="11:17" x14ac:dyDescent="0.25">
      <c r="K23" s="162"/>
      <c r="L23" s="162"/>
      <c r="M23" s="162"/>
      <c r="N23" s="162"/>
      <c r="O23" s="162"/>
      <c r="P23" s="162"/>
      <c r="Q23" s="162"/>
    </row>
    <row r="24" spans="11:17" x14ac:dyDescent="0.25">
      <c r="K24" s="162"/>
      <c r="L24" s="162"/>
      <c r="M24" s="162"/>
      <c r="N24" s="162"/>
      <c r="O24" s="162"/>
      <c r="P24" s="162"/>
      <c r="Q24" s="162"/>
    </row>
    <row r="25" spans="11:17" x14ac:dyDescent="0.25">
      <c r="K25" s="162"/>
      <c r="L25" s="162"/>
      <c r="M25" s="162"/>
      <c r="N25" s="162"/>
      <c r="O25" s="162"/>
      <c r="P25" s="162"/>
      <c r="Q25" s="162"/>
    </row>
    <row r="26" spans="11:17" x14ac:dyDescent="0.25">
      <c r="K26" s="163" t="s">
        <v>118</v>
      </c>
      <c r="L26" s="163"/>
      <c r="M26" s="163"/>
      <c r="N26" s="163"/>
      <c r="O26" s="163"/>
      <c r="P26" s="163"/>
      <c r="Q26" s="163"/>
    </row>
    <row r="27" spans="11:17" x14ac:dyDescent="0.25">
      <c r="K27" s="163"/>
      <c r="L27" s="163"/>
      <c r="M27" s="163"/>
      <c r="N27" s="163"/>
      <c r="O27" s="163"/>
      <c r="P27" s="163"/>
      <c r="Q27" s="163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X226"/>
  <sheetViews>
    <sheetView tabSelected="1" zoomScale="85" zoomScaleNormal="85" workbookViewId="0">
      <selection activeCell="D13" sqref="D13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4" ht="15.75" thickBot="1" x14ac:dyDescent="0.3">
      <c r="A1" s="3" t="s">
        <v>40</v>
      </c>
      <c r="B1" s="1"/>
      <c r="C1" s="166"/>
      <c r="D1" s="21" t="s">
        <v>37</v>
      </c>
      <c r="E1" s="36" t="s">
        <v>38</v>
      </c>
      <c r="F1" s="3" t="s">
        <v>39</v>
      </c>
    </row>
    <row r="2" spans="1:24" ht="15.75" thickBot="1" x14ac:dyDescent="0.3">
      <c r="A2" s="37">
        <v>6.9444444444444441E-3</v>
      </c>
      <c r="C2" s="166"/>
      <c r="D2" s="25">
        <v>1</v>
      </c>
      <c r="E2" s="26">
        <v>4</v>
      </c>
      <c r="F2" s="20">
        <v>1</v>
      </c>
    </row>
    <row r="3" spans="1:24" ht="15.75" thickBot="1" x14ac:dyDescent="0.3">
      <c r="A3" s="44">
        <v>0</v>
      </c>
      <c r="C3" s="167"/>
      <c r="D3" s="4" t="s">
        <v>146</v>
      </c>
      <c r="E3" s="34" t="str">
        <f>"Nbre de Catégories : " &amp; B30</f>
        <v>Nbre de Catégories : 1</v>
      </c>
    </row>
    <row r="4" spans="1:24" x14ac:dyDescent="0.25">
      <c r="A4" s="7" t="s">
        <v>41</v>
      </c>
      <c r="B4" s="2">
        <v>1</v>
      </c>
      <c r="C4" s="22" t="str">
        <f t="shared" ref="C4:C29" si="0">IF($D$2&gt;=B4,CHAR(64+B4),"")</f>
        <v>A</v>
      </c>
      <c r="D4" s="27">
        <v>4</v>
      </c>
      <c r="E4" s="6"/>
    </row>
    <row r="5" spans="1:24" ht="15.75" thickBot="1" x14ac:dyDescent="0.3">
      <c r="A5" s="20">
        <f>ROUNDUP(SUM(D4:D29)/8,0)</f>
        <v>1</v>
      </c>
      <c r="B5" s="2">
        <v>2</v>
      </c>
      <c r="C5" s="23" t="str">
        <f t="shared" si="0"/>
        <v/>
      </c>
      <c r="D5" s="27"/>
      <c r="E5" s="6"/>
      <c r="X5"/>
    </row>
    <row r="6" spans="1:24" ht="15.75" thickBot="1" x14ac:dyDescent="0.3">
      <c r="B6" s="2">
        <v>3</v>
      </c>
      <c r="C6" s="23" t="str">
        <f t="shared" si="0"/>
        <v/>
      </c>
      <c r="D6" s="27"/>
      <c r="E6" s="6"/>
      <c r="X6"/>
    </row>
    <row r="7" spans="1:24" x14ac:dyDescent="0.25">
      <c r="A7" s="8" t="s">
        <v>42</v>
      </c>
      <c r="B7" s="2">
        <v>4</v>
      </c>
      <c r="C7" s="23" t="str">
        <f t="shared" si="0"/>
        <v/>
      </c>
      <c r="D7" s="27"/>
      <c r="E7" s="6"/>
      <c r="X7"/>
    </row>
    <row r="8" spans="1:24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X8"/>
    </row>
    <row r="9" spans="1:24" x14ac:dyDescent="0.25">
      <c r="B9" s="2">
        <v>6</v>
      </c>
      <c r="C9" s="23" t="str">
        <f t="shared" si="0"/>
        <v/>
      </c>
      <c r="D9" s="27"/>
      <c r="E9" s="6"/>
      <c r="X9"/>
    </row>
    <row r="10" spans="1:24" x14ac:dyDescent="0.25">
      <c r="B10" s="2">
        <v>7</v>
      </c>
      <c r="C10" s="23" t="str">
        <f t="shared" si="0"/>
        <v/>
      </c>
      <c r="D10" s="27"/>
      <c r="E10" s="6"/>
      <c r="X10"/>
    </row>
    <row r="11" spans="1:24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X11"/>
    </row>
    <row r="12" spans="1:24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X12"/>
    </row>
    <row r="13" spans="1:24" x14ac:dyDescent="0.25">
      <c r="A13" s="42">
        <f>A2</f>
        <v>6.9444444444444441E-3</v>
      </c>
      <c r="B13" s="2">
        <v>10</v>
      </c>
      <c r="C13" s="23" t="str">
        <f t="shared" si="0"/>
        <v/>
      </c>
      <c r="D13" s="27"/>
      <c r="E13" s="6"/>
      <c r="X13"/>
    </row>
    <row r="14" spans="1:24" x14ac:dyDescent="0.25">
      <c r="A14" s="41" t="s">
        <v>43</v>
      </c>
      <c r="B14" s="2">
        <v>11</v>
      </c>
      <c r="C14" s="23" t="str">
        <f t="shared" si="0"/>
        <v/>
      </c>
      <c r="D14" s="27"/>
      <c r="E14" s="6"/>
      <c r="X14"/>
    </row>
    <row r="15" spans="1:24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X15"/>
    </row>
    <row r="16" spans="1:24" x14ac:dyDescent="0.25">
      <c r="A16" s="41" t="s">
        <v>44</v>
      </c>
      <c r="B16" s="2">
        <v>13</v>
      </c>
      <c r="C16" s="23" t="str">
        <f t="shared" si="0"/>
        <v/>
      </c>
      <c r="D16" s="27"/>
      <c r="E16" s="6"/>
      <c r="F16" s="2" t="s">
        <v>224</v>
      </c>
      <c r="X16"/>
    </row>
    <row r="17" spans="1:24" x14ac:dyDescent="0.25">
      <c r="A17" s="43">
        <f>(counttour()/E2*(A2+A3)) + (ROUNDUP(IF(B31=TRUE,12*A5,12*A5*B30)/E2,0)*(A2+A3))</f>
        <v>3.125E-2</v>
      </c>
      <c r="B17" s="2">
        <v>14</v>
      </c>
      <c r="C17" s="23" t="str">
        <f t="shared" si="0"/>
        <v/>
      </c>
      <c r="D17" s="27"/>
      <c r="E17" s="6"/>
      <c r="X17"/>
    </row>
    <row r="18" spans="1:24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64" t="s">
        <v>184</v>
      </c>
      <c r="X18"/>
    </row>
    <row r="19" spans="1:24" x14ac:dyDescent="0.25">
      <c r="A19" s="42">
        <f>A15+A17+A21</f>
        <v>0.86458333333333337</v>
      </c>
      <c r="B19" s="2">
        <v>16</v>
      </c>
      <c r="C19" s="23" t="str">
        <f t="shared" si="0"/>
        <v/>
      </c>
      <c r="D19" s="27"/>
      <c r="E19" s="6"/>
      <c r="F19" s="165"/>
      <c r="X19"/>
    </row>
    <row r="20" spans="1:24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65"/>
      <c r="X20"/>
    </row>
    <row r="21" spans="1:24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65"/>
      <c r="X21"/>
    </row>
    <row r="22" spans="1:24" x14ac:dyDescent="0.25">
      <c r="B22" s="2">
        <v>19</v>
      </c>
      <c r="C22" s="23" t="str">
        <f t="shared" si="0"/>
        <v/>
      </c>
      <c r="D22" s="27"/>
      <c r="E22" s="6"/>
      <c r="F22" s="18"/>
      <c r="X22"/>
    </row>
    <row r="23" spans="1:24" x14ac:dyDescent="0.25">
      <c r="B23" s="2">
        <v>20</v>
      </c>
      <c r="C23" s="23" t="str">
        <f t="shared" si="0"/>
        <v/>
      </c>
      <c r="D23" s="27"/>
      <c r="E23" s="6"/>
      <c r="X23"/>
    </row>
    <row r="24" spans="1:24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X24"/>
    </row>
    <row r="25" spans="1:24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X25"/>
    </row>
    <row r="26" spans="1:24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X26"/>
    </row>
    <row r="27" spans="1:24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X27"/>
    </row>
    <row r="28" spans="1:24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X28"/>
    </row>
    <row r="29" spans="1:24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X29"/>
    </row>
    <row r="30" spans="1:24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4" x14ac:dyDescent="0.25">
      <c r="A31" s="9" t="s">
        <v>43</v>
      </c>
      <c r="B31" s="33" t="b">
        <v>0</v>
      </c>
      <c r="D31" s="9" t="s">
        <v>33</v>
      </c>
      <c r="F31" s="65"/>
    </row>
    <row r="32" spans="1:24" x14ac:dyDescent="0.25">
      <c r="A32" s="37">
        <v>0.375</v>
      </c>
      <c r="B32" s="33" t="b">
        <v>1</v>
      </c>
      <c r="D32" s="26">
        <v>0</v>
      </c>
    </row>
    <row r="33" spans="1:6" x14ac:dyDescent="0.25">
      <c r="A33" s="9" t="s">
        <v>45</v>
      </c>
      <c r="B33" s="33" t="b">
        <v>0</v>
      </c>
      <c r="D33" s="9" t="s">
        <v>34</v>
      </c>
      <c r="F33" s="29"/>
    </row>
    <row r="34" spans="1:6" x14ac:dyDescent="0.25">
      <c r="A34" s="35">
        <f>(counttour()/E2*(A2+A3))+A32</f>
        <v>0.41666666666666669</v>
      </c>
      <c r="B34" s="33" t="b">
        <v>0</v>
      </c>
      <c r="D34" s="26">
        <v>0</v>
      </c>
      <c r="E34" s="2" t="str">
        <f>ROUNDUP(D32/E2,0) &amp; " ?"</f>
        <v>0 ?</v>
      </c>
      <c r="F34" s="2" t="s">
        <v>55</v>
      </c>
    </row>
    <row r="35" spans="1:6" x14ac:dyDescent="0.25">
      <c r="A35" s="9" t="s">
        <v>46</v>
      </c>
      <c r="D35" s="9" t="s">
        <v>48</v>
      </c>
    </row>
    <row r="36" spans="1:6" x14ac:dyDescent="0.25">
      <c r="A36" s="37" t="s">
        <v>56</v>
      </c>
      <c r="D36" s="26" t="b">
        <v>0</v>
      </c>
      <c r="E36" s="2" t="s">
        <v>35</v>
      </c>
    </row>
    <row r="37" spans="1:6" x14ac:dyDescent="0.25">
      <c r="A37" s="9" t="s">
        <v>32</v>
      </c>
      <c r="D37" s="9" t="s">
        <v>183</v>
      </c>
    </row>
    <row r="38" spans="1:6" x14ac:dyDescent="0.25">
      <c r="A38" s="35">
        <f>A36+(ROUNDUP(IF(B31=TRUE,12*A5,12*A5*B30)/E2,0)*(A2+A3))</f>
        <v>2.0833333333333332E-2</v>
      </c>
      <c r="D38" s="26" t="b">
        <v>0</v>
      </c>
    </row>
    <row r="39" spans="1:6" ht="16.5" thickBot="1" x14ac:dyDescent="0.3">
      <c r="A39" s="11"/>
      <c r="D39" s="26"/>
    </row>
    <row r="40" spans="1:6" x14ac:dyDescent="0.25">
      <c r="A40" s="3" t="s">
        <v>47</v>
      </c>
      <c r="D40" s="9" t="s">
        <v>208</v>
      </c>
    </row>
    <row r="41" spans="1:6" x14ac:dyDescent="0.25">
      <c r="A41" s="26">
        <v>4</v>
      </c>
      <c r="D41" s="26" t="b">
        <v>1</v>
      </c>
    </row>
    <row r="42" spans="1:6" ht="15.75" x14ac:dyDescent="0.25">
      <c r="A42" s="11"/>
    </row>
    <row r="43" spans="1:6" ht="15.75" x14ac:dyDescent="0.25">
      <c r="A43" s="11"/>
    </row>
    <row r="44" spans="1:6" x14ac:dyDescent="0.25">
      <c r="A44" s="15"/>
    </row>
    <row r="45" spans="1:6" x14ac:dyDescent="0.25">
      <c r="A45" s="15"/>
    </row>
    <row r="46" spans="1:6" x14ac:dyDescent="0.25">
      <c r="A46" s="14"/>
    </row>
    <row r="47" spans="1:6" x14ac:dyDescent="0.25">
      <c r="A47" s="10"/>
    </row>
    <row r="48" spans="1:6" ht="15.75" x14ac:dyDescent="0.25">
      <c r="A48" s="11"/>
    </row>
    <row r="49" spans="1:1" ht="15.75" x14ac:dyDescent="0.25">
      <c r="A49" s="11"/>
    </row>
    <row r="50" spans="1:1" ht="15.75" x14ac:dyDescent="0.25">
      <c r="A50" s="11"/>
    </row>
    <row r="51" spans="1:1" ht="15.75" x14ac:dyDescent="0.25">
      <c r="A51" s="11"/>
    </row>
    <row r="52" spans="1:1" ht="15.75" x14ac:dyDescent="0.25">
      <c r="A52" s="11"/>
    </row>
    <row r="53" spans="1:1" ht="15.75" x14ac:dyDescent="0.25">
      <c r="A53" s="11"/>
    </row>
    <row r="54" spans="1:1" ht="15.75" x14ac:dyDescent="0.25">
      <c r="A54" s="11"/>
    </row>
    <row r="55" spans="1:1" ht="15.75" x14ac:dyDescent="0.25">
      <c r="A55" s="11"/>
    </row>
    <row r="56" spans="1:1" x14ac:dyDescent="0.25">
      <c r="A56" s="10"/>
    </row>
    <row r="57" spans="1:1" x14ac:dyDescent="0.25">
      <c r="A57" s="14"/>
    </row>
    <row r="58" spans="1:1" x14ac:dyDescent="0.25">
      <c r="A58" s="10"/>
    </row>
    <row r="59" spans="1:1" ht="15.75" x14ac:dyDescent="0.25">
      <c r="A59" s="11"/>
    </row>
    <row r="60" spans="1:1" ht="15.75" x14ac:dyDescent="0.25">
      <c r="A60" s="11"/>
    </row>
    <row r="61" spans="1:1" ht="15.75" x14ac:dyDescent="0.25">
      <c r="A61" s="11"/>
    </row>
    <row r="62" spans="1:1" ht="15.75" x14ac:dyDescent="0.25">
      <c r="A62" s="11"/>
    </row>
    <row r="63" spans="1:1" ht="15.75" x14ac:dyDescent="0.25">
      <c r="A63" s="11"/>
    </row>
    <row r="64" spans="1:1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1:J29 H15:I26 J31:J119 J121:J1048576" xr:uid="{63F8F681-7350-4525-9836-EAEEE040BE5C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51</v>
      </c>
      <c r="L1" s="31" t="s">
        <v>49</v>
      </c>
      <c r="M1" s="31" t="s">
        <v>51</v>
      </c>
      <c r="N1" s="31" t="s">
        <v>50</v>
      </c>
      <c r="O1" s="31" t="s">
        <v>51</v>
      </c>
      <c r="P1" s="31" t="s">
        <v>54</v>
      </c>
      <c r="Q1" s="31" t="s">
        <v>51</v>
      </c>
      <c r="R1" s="31" t="s">
        <v>53</v>
      </c>
      <c r="S1" s="31" t="s">
        <v>51</v>
      </c>
      <c r="T1" s="31" t="s">
        <v>52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51</v>
      </c>
      <c r="AF1" s="31" t="s">
        <v>49</v>
      </c>
      <c r="AG1" s="31" t="s">
        <v>51</v>
      </c>
      <c r="AH1" s="31" t="s">
        <v>50</v>
      </c>
      <c r="AI1" s="31" t="s">
        <v>51</v>
      </c>
      <c r="AJ1" s="31" t="s">
        <v>54</v>
      </c>
      <c r="AK1" s="31" t="s">
        <v>51</v>
      </c>
      <c r="AL1" s="31" t="s">
        <v>53</v>
      </c>
      <c r="AM1" s="31" t="s">
        <v>51</v>
      </c>
      <c r="AN1" s="31" t="s">
        <v>52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51</v>
      </c>
      <c r="AZ1" s="31" t="s">
        <v>49</v>
      </c>
      <c r="BA1" s="31" t="s">
        <v>51</v>
      </c>
      <c r="BB1" s="31" t="s">
        <v>50</v>
      </c>
      <c r="BC1" s="31" t="s">
        <v>51</v>
      </c>
      <c r="BD1" s="31" t="s">
        <v>54</v>
      </c>
      <c r="BE1" s="31" t="s">
        <v>51</v>
      </c>
      <c r="BF1" s="31" t="s">
        <v>53</v>
      </c>
      <c r="BG1" s="31" t="s">
        <v>51</v>
      </c>
      <c r="BH1" s="31" t="s">
        <v>52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51</v>
      </c>
      <c r="BT1" s="31" t="s">
        <v>49</v>
      </c>
      <c r="BU1" s="31" t="s">
        <v>51</v>
      </c>
      <c r="BV1" s="31" t="s">
        <v>50</v>
      </c>
      <c r="BW1" s="31" t="s">
        <v>51</v>
      </c>
      <c r="BX1" s="31" t="s">
        <v>54</v>
      </c>
      <c r="BY1" s="31" t="s">
        <v>51</v>
      </c>
      <c r="BZ1" s="31" t="s">
        <v>53</v>
      </c>
      <c r="CA1" s="31" t="s">
        <v>51</v>
      </c>
      <c r="CB1" s="31" t="s">
        <v>52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14F2E-F402-46D6-9416-4F7B12C1A6A8}">
  <sheetPr codeName="Feuil41"/>
  <dimension ref="A1"/>
  <sheetViews>
    <sheetView workbookViewId="0">
      <selection activeCell="J38" sqref="J38"/>
    </sheetView>
  </sheetViews>
  <sheetFormatPr baseColWidth="10" defaultRowHeight="15" x14ac:dyDescent="0.25"/>
  <sheetData>
    <row r="1" spans="1:1" x14ac:dyDescent="0.25">
      <c r="A1" s="78" t="s">
        <v>168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P139"/>
  <sheetViews>
    <sheetView showFormulas="1" topLeftCell="A24" workbookViewId="0">
      <selection activeCell="M1" sqref="M1:N36"/>
    </sheetView>
  </sheetViews>
  <sheetFormatPr baseColWidth="10" defaultRowHeight="15" x14ac:dyDescent="0.25"/>
  <cols>
    <col min="1" max="1" width="6.5703125" style="39" customWidth="1"/>
    <col min="2" max="2" width="3.42578125" style="39" customWidth="1"/>
    <col min="3" max="6" width="3.42578125" customWidth="1"/>
    <col min="7" max="9" width="3.42578125" style="13" customWidth="1"/>
    <col min="12" max="12" width="11.5703125" customWidth="1"/>
    <col min="14" max="14" width="14.28515625" bestFit="1" customWidth="1"/>
  </cols>
  <sheetData>
    <row r="1" spans="2:16" ht="24" thickTop="1" x14ac:dyDescent="0.25">
      <c r="G1" s="13" t="s">
        <v>119</v>
      </c>
      <c r="H1" s="13" t="s">
        <v>120</v>
      </c>
      <c r="I1" s="13" t="s">
        <v>166</v>
      </c>
      <c r="K1" s="127" t="e">
        <f>IF(#REF!="g",#REF!,IF(#REF!="g",#REF!,""))</f>
        <v>#REF!</v>
      </c>
      <c r="L1" s="128"/>
      <c r="M1" s="170" t="s">
        <v>42</v>
      </c>
      <c r="N1" s="171"/>
      <c r="O1" s="128"/>
    </row>
    <row r="2" spans="2:16" ht="28.5" thickBot="1" x14ac:dyDescent="0.3">
      <c r="B2" s="40"/>
      <c r="C2" s="38"/>
      <c r="D2" s="38"/>
      <c r="G2" s="13" t="s">
        <v>121</v>
      </c>
      <c r="H2" s="13" t="s">
        <v>122</v>
      </c>
      <c r="I2" s="13" t="s">
        <v>166</v>
      </c>
      <c r="K2" s="129" t="e">
        <f>IF(#REF!="p",#REF!,IF(#REF!="p",#REF!,""))</f>
        <v>#REF!</v>
      </c>
      <c r="L2" s="128"/>
      <c r="M2" s="172" t="s">
        <v>199</v>
      </c>
      <c r="N2" s="173"/>
      <c r="O2" s="128"/>
    </row>
    <row r="3" spans="2:16" ht="21" thickBot="1" x14ac:dyDescent="0.35">
      <c r="B3" s="40"/>
      <c r="C3" s="38"/>
      <c r="D3" s="38"/>
      <c r="G3" s="13" t="s">
        <v>147</v>
      </c>
      <c r="H3" s="13" t="s">
        <v>148</v>
      </c>
      <c r="I3" s="13" t="s">
        <v>166</v>
      </c>
      <c r="K3" s="129" t="e">
        <f>IF(#REF!="g",#REF!,IF(#REF!="g",#REF!,""))</f>
        <v>#REF!</v>
      </c>
      <c r="L3" s="128"/>
      <c r="M3" s="174" t="s">
        <v>225</v>
      </c>
      <c r="N3" s="175" t="s">
        <v>225</v>
      </c>
      <c r="P3" s="130" t="str">
        <f>IF(T7="P",S7,IF(T7="G",S8,""))</f>
        <v/>
      </c>
    </row>
    <row r="4" spans="2:16" ht="21" thickBot="1" x14ac:dyDescent="0.3">
      <c r="B4" s="40"/>
      <c r="C4" s="38"/>
      <c r="D4" s="38"/>
      <c r="G4" s="13" t="s">
        <v>123</v>
      </c>
      <c r="H4" s="13" t="s">
        <v>124</v>
      </c>
      <c r="I4" s="13" t="s">
        <v>166</v>
      </c>
      <c r="K4" s="129" t="e">
        <f>IF(#REF!="p",#REF!,IF(#REF!="p",#REF!,""))</f>
        <v>#REF!</v>
      </c>
      <c r="L4" s="128"/>
      <c r="M4" s="117" t="e">
        <f>#REF!</f>
        <v>#REF!</v>
      </c>
      <c r="N4" s="118"/>
      <c r="P4" s="131"/>
    </row>
    <row r="5" spans="2:16" ht="21" thickBot="1" x14ac:dyDescent="0.3">
      <c r="B5" s="40"/>
      <c r="C5" s="38"/>
      <c r="D5" s="38"/>
      <c r="G5" s="13" t="s">
        <v>125</v>
      </c>
      <c r="H5" s="13" t="s">
        <v>126</v>
      </c>
      <c r="I5" s="13" t="s">
        <v>166</v>
      </c>
      <c r="K5" s="129" t="e">
        <f>IF(#REF!="g",#REF!,IF(#REF!="g",#REF!,""))</f>
        <v>#REF!</v>
      </c>
      <c r="L5" s="128"/>
      <c r="M5" s="117" t="e">
        <f>#REF!</f>
        <v>#REF!</v>
      </c>
      <c r="N5" s="118"/>
      <c r="P5" s="131"/>
    </row>
    <row r="6" spans="2:16" ht="20.25" x14ac:dyDescent="0.25">
      <c r="B6" s="40"/>
      <c r="C6" s="38"/>
      <c r="D6" s="38"/>
      <c r="G6" s="13" t="s">
        <v>150</v>
      </c>
      <c r="H6" s="13" t="s">
        <v>151</v>
      </c>
      <c r="I6" s="13" t="s">
        <v>166</v>
      </c>
      <c r="K6" s="129" t="e">
        <f>IF(#REF!="p",#REF!,IF(#REF!="p",#REF!,""))</f>
        <v>#REF!</v>
      </c>
      <c r="L6" s="128"/>
      <c r="M6" s="114"/>
      <c r="N6" s="119"/>
      <c r="P6" s="132" t="e">
        <f>IF(K8="G",L8,IF(K8="P",L18,""))</f>
        <v>#REF!</v>
      </c>
    </row>
    <row r="7" spans="2:16" ht="21" thickBot="1" x14ac:dyDescent="0.3">
      <c r="B7" s="40"/>
      <c r="C7" s="38"/>
      <c r="D7" s="38"/>
      <c r="G7" s="13" t="s">
        <v>153</v>
      </c>
      <c r="H7" s="13" t="s">
        <v>154</v>
      </c>
      <c r="I7" s="13" t="s">
        <v>166</v>
      </c>
      <c r="K7" s="129" t="e">
        <f>IF(#REF!="g",#REF!,IF(#REF!="g",#REF!,""))</f>
        <v>#REF!</v>
      </c>
      <c r="L7" s="128"/>
      <c r="M7" s="168" t="s">
        <v>226</v>
      </c>
      <c r="N7" s="169" t="s">
        <v>226</v>
      </c>
      <c r="P7" s="133" t="str">
        <f>IF(K26="G",L26,IF(K26="P",L36,""))</f>
        <v/>
      </c>
    </row>
    <row r="8" spans="2:16" ht="21" thickBot="1" x14ac:dyDescent="0.3">
      <c r="B8" s="40"/>
      <c r="C8" s="38"/>
      <c r="D8" s="38"/>
      <c r="G8" s="13" t="s">
        <v>155</v>
      </c>
      <c r="H8" s="13" t="s">
        <v>156</v>
      </c>
      <c r="I8" s="13" t="s">
        <v>166</v>
      </c>
      <c r="K8" s="129" t="e">
        <f>IF(#REF!="p",#REF!,IF(#REF!="p",#REF!,""))</f>
        <v>#REF!</v>
      </c>
      <c r="L8" s="128"/>
      <c r="M8" s="117" t="e">
        <f>#REF!</f>
        <v>#REF!</v>
      </c>
      <c r="N8" s="118"/>
      <c r="O8" s="128"/>
    </row>
    <row r="9" spans="2:16" ht="21" thickBot="1" x14ac:dyDescent="0.3">
      <c r="B9" s="40"/>
      <c r="C9" s="38"/>
      <c r="D9" s="38"/>
      <c r="G9" s="13" t="s">
        <v>157</v>
      </c>
      <c r="H9" s="13" t="s">
        <v>158</v>
      </c>
      <c r="I9" s="13" t="s">
        <v>166</v>
      </c>
      <c r="K9" s="129" t="e">
        <f>IF(#REF!="g",#REF!,IF(#REF!="g",#REF!,""))</f>
        <v>#REF!</v>
      </c>
      <c r="L9" s="128"/>
      <c r="M9" s="117" t="e">
        <f>#REF!</f>
        <v>#REF!</v>
      </c>
      <c r="N9" s="118"/>
      <c r="O9" s="128"/>
    </row>
    <row r="10" spans="2:16" ht="20.25" x14ac:dyDescent="0.25">
      <c r="B10" s="40"/>
      <c r="C10" s="38"/>
      <c r="D10" s="38"/>
      <c r="K10" s="129" t="e">
        <f>IF(#REF!="p",#REF!,IF(#REF!="p",#REF!,""))</f>
        <v>#REF!</v>
      </c>
      <c r="L10" s="128"/>
      <c r="M10" s="114"/>
      <c r="N10" s="119"/>
      <c r="O10" s="128"/>
    </row>
    <row r="11" spans="2:16" ht="20.25" x14ac:dyDescent="0.25">
      <c r="B11" s="40"/>
      <c r="C11" s="38"/>
      <c r="D11" s="38"/>
      <c r="G11" s="13" t="s">
        <v>159</v>
      </c>
      <c r="H11" s="13" t="s">
        <v>160</v>
      </c>
      <c r="I11" s="13" t="s">
        <v>167</v>
      </c>
      <c r="K11" s="129" t="e">
        <f>IF(#REF!="g",#REF!,IF(#REF!="g",#REF!,""))</f>
        <v>#REF!</v>
      </c>
      <c r="L11" s="128"/>
      <c r="M11" s="114"/>
      <c r="N11" s="119"/>
      <c r="O11" s="128"/>
    </row>
    <row r="12" spans="2:16" ht="21" thickBot="1" x14ac:dyDescent="0.3">
      <c r="B12" s="40"/>
      <c r="C12" s="38"/>
      <c r="D12" s="38"/>
      <c r="G12" s="13" t="s">
        <v>161</v>
      </c>
      <c r="H12" s="13" t="s">
        <v>162</v>
      </c>
      <c r="I12" s="13" t="s">
        <v>167</v>
      </c>
      <c r="K12" s="129" t="e">
        <f>IF(#REF!="p",#REF!,IF(#REF!="p",#REF!,""))</f>
        <v>#REF!</v>
      </c>
      <c r="L12" s="128"/>
      <c r="M12" s="168" t="s">
        <v>227</v>
      </c>
      <c r="N12" s="169" t="s">
        <v>227</v>
      </c>
      <c r="O12" s="128"/>
    </row>
    <row r="13" spans="2:16" ht="21" thickBot="1" x14ac:dyDescent="0.3">
      <c r="B13" s="40"/>
      <c r="C13" s="38"/>
      <c r="D13" s="38"/>
      <c r="G13" s="13" t="s">
        <v>163</v>
      </c>
      <c r="H13" s="13" t="s">
        <v>164</v>
      </c>
      <c r="I13" s="13" t="s">
        <v>167</v>
      </c>
      <c r="K13" s="129" t="e">
        <f>IF(#REF!="g",#REF!,IF(#REF!="g",#REF!,""))</f>
        <v>#REF!</v>
      </c>
      <c r="L13" s="128"/>
      <c r="M13" s="117" t="e">
        <f>#REF!</f>
        <v>#REF!</v>
      </c>
      <c r="N13" s="118"/>
      <c r="O13" s="128"/>
    </row>
    <row r="14" spans="2:16" ht="21" thickBot="1" x14ac:dyDescent="0.3">
      <c r="B14" s="40"/>
      <c r="C14" s="38"/>
      <c r="D14" s="38"/>
      <c r="G14" s="13" t="s">
        <v>169</v>
      </c>
      <c r="H14" s="13" t="s">
        <v>170</v>
      </c>
      <c r="I14" s="13" t="s">
        <v>167</v>
      </c>
      <c r="K14" s="129" t="e">
        <f>IF(#REF!="p",#REF!,IF(#REF!="p",#REF!,""))</f>
        <v>#REF!</v>
      </c>
      <c r="L14" s="128"/>
      <c r="M14" s="117" t="e">
        <f>#REF!</f>
        <v>#REF!</v>
      </c>
      <c r="N14" s="118"/>
      <c r="O14" s="128"/>
    </row>
    <row r="15" spans="2:16" ht="20.25" x14ac:dyDescent="0.25">
      <c r="B15" s="40"/>
      <c r="C15" s="38"/>
      <c r="D15" s="38"/>
      <c r="G15" s="13" t="s">
        <v>171</v>
      </c>
      <c r="H15" s="13" t="s">
        <v>172</v>
      </c>
      <c r="I15" s="13" t="s">
        <v>167</v>
      </c>
      <c r="K15" s="129" t="e">
        <f>IF(#REF!="g",#REF!,IF(#REF!="g",#REF!,""))</f>
        <v>#REF!</v>
      </c>
      <c r="L15" s="128"/>
      <c r="M15" s="114"/>
      <c r="N15" s="119"/>
      <c r="O15" s="128"/>
    </row>
    <row r="16" spans="2:16" ht="21" thickBot="1" x14ac:dyDescent="0.3">
      <c r="B16" s="40"/>
      <c r="C16" s="38"/>
      <c r="D16" s="38"/>
      <c r="G16" s="13" t="s">
        <v>173</v>
      </c>
      <c r="H16" s="13" t="s">
        <v>174</v>
      </c>
      <c r="I16" s="13" t="s">
        <v>167</v>
      </c>
      <c r="K16" s="129" t="e">
        <f>IF(#REF!="p",#REF!,IF(#REF!="p",#REF!,""))</f>
        <v>#REF!</v>
      </c>
      <c r="L16" s="128"/>
      <c r="M16" s="168" t="s">
        <v>228</v>
      </c>
      <c r="N16" s="169" t="s">
        <v>228</v>
      </c>
      <c r="O16" s="128"/>
    </row>
    <row r="17" spans="2:15" ht="21" thickBot="1" x14ac:dyDescent="0.3">
      <c r="B17" s="40"/>
      <c r="C17" s="38"/>
      <c r="D17" s="38"/>
      <c r="G17" s="13" t="s">
        <v>175</v>
      </c>
      <c r="H17" s="13" t="s">
        <v>176</v>
      </c>
      <c r="I17" s="13" t="s">
        <v>167</v>
      </c>
      <c r="K17" s="128"/>
      <c r="L17" s="128"/>
      <c r="M17" s="117" t="e">
        <f>#REF!</f>
        <v>#REF!</v>
      </c>
      <c r="N17" s="118"/>
      <c r="O17" s="128"/>
    </row>
    <row r="18" spans="2:15" ht="21" thickBot="1" x14ac:dyDescent="0.3">
      <c r="B18" s="40"/>
      <c r="C18" s="38"/>
      <c r="D18" s="38"/>
      <c r="G18" s="13" t="s">
        <v>177</v>
      </c>
      <c r="H18" s="13" t="s">
        <v>178</v>
      </c>
      <c r="I18" s="13" t="s">
        <v>167</v>
      </c>
      <c r="K18" s="128"/>
      <c r="L18" s="128"/>
      <c r="M18" s="117" t="e">
        <f>#REF!</f>
        <v>#REF!</v>
      </c>
      <c r="N18" s="118"/>
      <c r="O18" s="128"/>
    </row>
    <row r="19" spans="2:15" ht="20.25" x14ac:dyDescent="0.25">
      <c r="B19" s="40"/>
      <c r="C19" s="38"/>
      <c r="D19" s="38"/>
      <c r="G19" s="13" t="s">
        <v>179</v>
      </c>
      <c r="H19" s="13" t="s">
        <v>180</v>
      </c>
      <c r="I19" s="13" t="s">
        <v>167</v>
      </c>
      <c r="K19" s="128"/>
      <c r="L19" s="128"/>
      <c r="M19" s="114"/>
      <c r="N19" s="119"/>
      <c r="O19" s="128"/>
    </row>
    <row r="20" spans="2:15" ht="20.25" x14ac:dyDescent="0.25">
      <c r="B20" s="40"/>
      <c r="C20" s="38"/>
      <c r="D20" s="38"/>
      <c r="K20" s="128"/>
      <c r="L20" s="128"/>
      <c r="M20" s="114"/>
      <c r="N20" s="119"/>
      <c r="O20" s="128"/>
    </row>
    <row r="21" spans="2:15" ht="21" thickBot="1" x14ac:dyDescent="0.3">
      <c r="B21" s="40"/>
      <c r="C21" s="38"/>
      <c r="D21" s="38"/>
      <c r="G21" s="13" t="s">
        <v>119</v>
      </c>
      <c r="H21" s="13" t="s">
        <v>121</v>
      </c>
      <c r="I21" s="13" t="s">
        <v>166</v>
      </c>
      <c r="K21" s="128"/>
      <c r="L21" s="128"/>
      <c r="M21" s="168" t="s">
        <v>225</v>
      </c>
      <c r="N21" s="169" t="s">
        <v>225</v>
      </c>
      <c r="O21" s="128"/>
    </row>
    <row r="22" spans="2:15" ht="21" thickBot="1" x14ac:dyDescent="0.3">
      <c r="B22" s="40"/>
      <c r="C22" s="38"/>
      <c r="D22" s="38"/>
      <c r="G22" s="13" t="s">
        <v>147</v>
      </c>
      <c r="H22" s="13" t="s">
        <v>122</v>
      </c>
      <c r="I22" s="13" t="s">
        <v>166</v>
      </c>
      <c r="K22" s="128"/>
      <c r="L22" s="128"/>
      <c r="M22" s="117" t="e">
        <f>#REF!</f>
        <v>#REF!</v>
      </c>
      <c r="N22" s="118"/>
      <c r="O22" s="128"/>
    </row>
    <row r="23" spans="2:15" ht="21" thickBot="1" x14ac:dyDescent="0.3">
      <c r="B23" s="40"/>
      <c r="C23" s="38"/>
      <c r="D23" s="38"/>
      <c r="G23" s="13" t="s">
        <v>148</v>
      </c>
      <c r="H23" s="13" t="s">
        <v>149</v>
      </c>
      <c r="I23" s="13" t="s">
        <v>166</v>
      </c>
      <c r="K23" s="128"/>
      <c r="L23" s="128"/>
      <c r="M23" s="117" t="e">
        <f>#REF!</f>
        <v>#REF!</v>
      </c>
      <c r="N23" s="118"/>
      <c r="O23" s="128"/>
    </row>
    <row r="24" spans="2:15" ht="20.25" x14ac:dyDescent="0.25">
      <c r="B24" s="40"/>
      <c r="C24" s="38"/>
      <c r="D24" s="38"/>
      <c r="G24" s="13" t="s">
        <v>123</v>
      </c>
      <c r="H24" s="13" t="s">
        <v>125</v>
      </c>
      <c r="I24" s="13" t="s">
        <v>166</v>
      </c>
      <c r="K24" s="128"/>
      <c r="L24" s="128"/>
      <c r="M24" s="114"/>
      <c r="N24" s="119"/>
      <c r="O24" s="128"/>
    </row>
    <row r="25" spans="2:15" ht="21" thickBot="1" x14ac:dyDescent="0.3">
      <c r="B25" s="40"/>
      <c r="C25" s="38"/>
      <c r="D25" s="38"/>
      <c r="G25" s="13" t="s">
        <v>150</v>
      </c>
      <c r="H25" s="13" t="s">
        <v>126</v>
      </c>
      <c r="I25" s="13" t="s">
        <v>166</v>
      </c>
      <c r="K25" s="128"/>
      <c r="L25" s="128"/>
      <c r="M25" s="168" t="s">
        <v>226</v>
      </c>
      <c r="N25" s="169" t="s">
        <v>226</v>
      </c>
      <c r="O25" s="128"/>
    </row>
    <row r="26" spans="2:15" ht="21" thickBot="1" x14ac:dyDescent="0.3">
      <c r="B26" s="40"/>
      <c r="C26" s="38"/>
      <c r="D26" s="38"/>
      <c r="G26" s="13" t="s">
        <v>151</v>
      </c>
      <c r="H26" s="13" t="s">
        <v>152</v>
      </c>
      <c r="I26" s="13" t="s">
        <v>166</v>
      </c>
      <c r="K26" s="128"/>
      <c r="L26" s="128"/>
      <c r="M26" s="117" t="e">
        <f>#REF!</f>
        <v>#REF!</v>
      </c>
      <c r="N26" s="118"/>
      <c r="O26" s="128"/>
    </row>
    <row r="27" spans="2:15" ht="21" thickBot="1" x14ac:dyDescent="0.3">
      <c r="B27" s="40"/>
      <c r="C27" s="38"/>
      <c r="D27" s="38"/>
      <c r="G27" s="13" t="s">
        <v>153</v>
      </c>
      <c r="H27" s="13" t="s">
        <v>155</v>
      </c>
      <c r="I27" s="13" t="s">
        <v>166</v>
      </c>
      <c r="K27" s="128"/>
      <c r="L27" s="128"/>
      <c r="M27" s="117" t="e">
        <f>#REF!</f>
        <v>#REF!</v>
      </c>
      <c r="N27" s="118"/>
      <c r="O27" s="128"/>
    </row>
    <row r="28" spans="2:15" ht="20.25" x14ac:dyDescent="0.25">
      <c r="B28" s="40"/>
      <c r="C28" s="38"/>
      <c r="D28" s="38"/>
      <c r="G28" s="13" t="s">
        <v>154</v>
      </c>
      <c r="H28" s="13" t="s">
        <v>157</v>
      </c>
      <c r="I28" s="13" t="s">
        <v>166</v>
      </c>
      <c r="K28" s="128"/>
      <c r="L28" s="128"/>
      <c r="M28" s="114"/>
      <c r="N28" s="119"/>
      <c r="O28" s="128"/>
    </row>
    <row r="29" spans="2:15" ht="20.25" x14ac:dyDescent="0.25">
      <c r="B29" s="40"/>
      <c r="C29" s="38"/>
      <c r="G29" s="13" t="s">
        <v>156</v>
      </c>
      <c r="H29" s="13" t="s">
        <v>158</v>
      </c>
      <c r="I29" s="13" t="s">
        <v>166</v>
      </c>
      <c r="K29" s="128"/>
      <c r="L29" s="128"/>
      <c r="M29" s="114"/>
      <c r="N29" s="119"/>
      <c r="O29" s="128"/>
    </row>
    <row r="30" spans="2:15" ht="21" thickBot="1" x14ac:dyDescent="0.3">
      <c r="K30" s="128"/>
      <c r="L30" s="128"/>
      <c r="M30" s="168" t="s">
        <v>227</v>
      </c>
      <c r="N30" s="169" t="s">
        <v>227</v>
      </c>
      <c r="O30" s="128"/>
    </row>
    <row r="31" spans="2:15" ht="21" thickBot="1" x14ac:dyDescent="0.3">
      <c r="G31" s="13" t="s">
        <v>159</v>
      </c>
      <c r="H31" s="13" t="s">
        <v>161</v>
      </c>
      <c r="I31" s="13" t="s">
        <v>167</v>
      </c>
      <c r="K31" s="128"/>
      <c r="L31" s="128"/>
      <c r="M31" s="117" t="e">
        <f>#REF!</f>
        <v>#REF!</v>
      </c>
      <c r="N31" s="118"/>
      <c r="O31" s="128"/>
    </row>
    <row r="32" spans="2:15" ht="21" thickBot="1" x14ac:dyDescent="0.3">
      <c r="G32" s="13" t="s">
        <v>163</v>
      </c>
      <c r="H32" s="13" t="s">
        <v>162</v>
      </c>
      <c r="I32" s="13" t="s">
        <v>167</v>
      </c>
      <c r="K32" s="128"/>
      <c r="L32" s="128"/>
      <c r="M32" s="117" t="e">
        <f>#REF!</f>
        <v>#REF!</v>
      </c>
      <c r="N32" s="118"/>
      <c r="O32" s="128"/>
    </row>
    <row r="33" spans="7:15" ht="20.25" x14ac:dyDescent="0.25">
      <c r="G33" s="13" t="s">
        <v>164</v>
      </c>
      <c r="H33" s="13" t="s">
        <v>165</v>
      </c>
      <c r="I33" s="13" t="s">
        <v>167</v>
      </c>
      <c r="K33" s="128"/>
      <c r="L33" s="128"/>
      <c r="M33" s="114"/>
      <c r="N33" s="119"/>
      <c r="O33" s="128"/>
    </row>
    <row r="34" spans="7:15" ht="21" thickBot="1" x14ac:dyDescent="0.3">
      <c r="G34" s="13" t="s">
        <v>169</v>
      </c>
      <c r="H34" s="13" t="s">
        <v>171</v>
      </c>
      <c r="I34" s="13" t="s">
        <v>167</v>
      </c>
      <c r="K34" s="128"/>
      <c r="L34" s="128"/>
      <c r="M34" s="168" t="s">
        <v>228</v>
      </c>
      <c r="N34" s="169" t="s">
        <v>228</v>
      </c>
      <c r="O34" s="128"/>
    </row>
    <row r="35" spans="7:15" ht="21" thickBot="1" x14ac:dyDescent="0.3">
      <c r="G35" s="13" t="s">
        <v>173</v>
      </c>
      <c r="H35" s="13" t="s">
        <v>172</v>
      </c>
      <c r="I35" s="13" t="s">
        <v>167</v>
      </c>
      <c r="K35" s="128"/>
      <c r="L35" s="128"/>
      <c r="M35" s="117" t="e">
        <f>#REF!</f>
        <v>#REF!</v>
      </c>
      <c r="N35" s="118"/>
      <c r="O35" s="128"/>
    </row>
    <row r="36" spans="7:15" ht="21" thickBot="1" x14ac:dyDescent="0.3">
      <c r="G36" s="13" t="s">
        <v>174</v>
      </c>
      <c r="H36" s="13" t="s">
        <v>181</v>
      </c>
      <c r="I36" s="13" t="s">
        <v>167</v>
      </c>
      <c r="K36" s="128"/>
      <c r="L36" s="128"/>
      <c r="M36" s="120" t="e">
        <f>#REF!</f>
        <v>#REF!</v>
      </c>
      <c r="N36" s="121"/>
      <c r="O36" s="128"/>
    </row>
    <row r="37" spans="7:15" ht="15.75" thickTop="1" x14ac:dyDescent="0.25">
      <c r="G37" s="13" t="s">
        <v>175</v>
      </c>
      <c r="H37" s="13" t="s">
        <v>177</v>
      </c>
      <c r="I37" s="13" t="s">
        <v>167</v>
      </c>
      <c r="K37" s="128"/>
      <c r="L37" s="128"/>
      <c r="M37" s="128"/>
      <c r="N37" s="128"/>
      <c r="O37" s="128"/>
    </row>
    <row r="38" spans="7:15" x14ac:dyDescent="0.25">
      <c r="G38" s="13" t="s">
        <v>176</v>
      </c>
      <c r="H38" s="13" t="s">
        <v>179</v>
      </c>
      <c r="I38" s="13" t="s">
        <v>167</v>
      </c>
      <c r="K38" s="128"/>
      <c r="L38" s="128"/>
      <c r="M38" s="128"/>
      <c r="N38" s="128"/>
      <c r="O38" s="128"/>
    </row>
    <row r="39" spans="7:15" x14ac:dyDescent="0.25">
      <c r="G39" s="13" t="s">
        <v>178</v>
      </c>
      <c r="H39" s="13" t="s">
        <v>180</v>
      </c>
      <c r="I39" s="13" t="s">
        <v>167</v>
      </c>
      <c r="K39" s="128"/>
      <c r="L39" s="128"/>
      <c r="M39" s="128"/>
      <c r="N39" s="128"/>
      <c r="O39" s="128"/>
    </row>
    <row r="40" spans="7:15" x14ac:dyDescent="0.25">
      <c r="K40" s="128"/>
      <c r="L40" s="128"/>
      <c r="M40" s="128"/>
      <c r="N40" s="128"/>
      <c r="O40" s="128"/>
    </row>
    <row r="41" spans="7:15" x14ac:dyDescent="0.25">
      <c r="G41" s="13" t="s">
        <v>119</v>
      </c>
      <c r="H41" s="13" t="s">
        <v>122</v>
      </c>
      <c r="I41" s="13" t="s">
        <v>166</v>
      </c>
      <c r="K41" s="128"/>
      <c r="L41" s="128"/>
      <c r="M41" s="128"/>
      <c r="N41" s="128"/>
      <c r="O41" s="128"/>
    </row>
    <row r="42" spans="7:15" x14ac:dyDescent="0.25">
      <c r="G42" s="13" t="s">
        <v>120</v>
      </c>
      <c r="H42" s="13" t="s">
        <v>147</v>
      </c>
      <c r="I42" s="13" t="s">
        <v>166</v>
      </c>
      <c r="K42" s="128"/>
      <c r="L42" s="128"/>
      <c r="M42" s="128"/>
      <c r="N42" s="128"/>
      <c r="O42" s="128"/>
    </row>
    <row r="43" spans="7:15" x14ac:dyDescent="0.25">
      <c r="G43" s="13" t="s">
        <v>149</v>
      </c>
      <c r="H43" s="13" t="s">
        <v>121</v>
      </c>
      <c r="I43" s="13" t="s">
        <v>166</v>
      </c>
      <c r="K43" s="128"/>
      <c r="L43" s="128"/>
      <c r="M43" s="128"/>
      <c r="N43" s="128"/>
      <c r="O43" s="128"/>
    </row>
    <row r="44" spans="7:15" x14ac:dyDescent="0.25">
      <c r="G44" s="13" t="s">
        <v>123</v>
      </c>
      <c r="H44" s="13" t="s">
        <v>126</v>
      </c>
      <c r="I44" s="13" t="s">
        <v>166</v>
      </c>
      <c r="K44" s="128"/>
      <c r="L44" s="128"/>
      <c r="M44" s="128"/>
      <c r="N44" s="128"/>
      <c r="O44" s="128"/>
    </row>
    <row r="45" spans="7:15" x14ac:dyDescent="0.25">
      <c r="G45" s="13" t="s">
        <v>124</v>
      </c>
      <c r="H45" s="13" t="s">
        <v>150</v>
      </c>
      <c r="I45" s="13" t="s">
        <v>166</v>
      </c>
      <c r="K45" s="128"/>
      <c r="L45" s="128"/>
      <c r="M45" s="128"/>
      <c r="N45" s="128"/>
      <c r="O45" s="128"/>
    </row>
    <row r="46" spans="7:15" x14ac:dyDescent="0.25">
      <c r="G46" s="13" t="s">
        <v>152</v>
      </c>
      <c r="H46" s="13" t="s">
        <v>125</v>
      </c>
      <c r="I46" s="13" t="s">
        <v>166</v>
      </c>
      <c r="K46" s="128"/>
      <c r="L46" s="128"/>
      <c r="M46" s="128"/>
      <c r="N46" s="128"/>
      <c r="O46" s="128"/>
    </row>
    <row r="47" spans="7:15" x14ac:dyDescent="0.25">
      <c r="G47" s="13" t="s">
        <v>153</v>
      </c>
      <c r="H47" s="13" t="s">
        <v>158</v>
      </c>
      <c r="I47" s="13" t="s">
        <v>166</v>
      </c>
      <c r="K47" s="128"/>
      <c r="L47" s="128"/>
      <c r="M47" s="128"/>
      <c r="N47" s="128"/>
      <c r="O47" s="128"/>
    </row>
    <row r="48" spans="7:15" x14ac:dyDescent="0.25">
      <c r="G48" s="13" t="s">
        <v>154</v>
      </c>
      <c r="H48" s="13" t="s">
        <v>155</v>
      </c>
      <c r="I48" s="13" t="s">
        <v>166</v>
      </c>
      <c r="K48" s="128"/>
      <c r="L48" s="128"/>
      <c r="M48" s="128"/>
      <c r="N48" s="128"/>
      <c r="O48" s="128"/>
    </row>
    <row r="49" spans="7:15" x14ac:dyDescent="0.25">
      <c r="G49" s="13" t="s">
        <v>156</v>
      </c>
      <c r="H49" s="13" t="s">
        <v>157</v>
      </c>
      <c r="I49" s="13" t="s">
        <v>166</v>
      </c>
      <c r="K49" s="128"/>
      <c r="L49" s="128"/>
      <c r="M49" s="128"/>
      <c r="N49" s="128"/>
      <c r="O49" s="128"/>
    </row>
    <row r="50" spans="7:15" x14ac:dyDescent="0.25">
      <c r="K50" s="128"/>
      <c r="L50" s="128"/>
      <c r="M50" s="128"/>
      <c r="N50" s="128"/>
      <c r="O50" s="128"/>
    </row>
    <row r="51" spans="7:15" x14ac:dyDescent="0.25">
      <c r="G51" s="13" t="s">
        <v>159</v>
      </c>
      <c r="H51" s="13" t="s">
        <v>162</v>
      </c>
      <c r="I51" s="13" t="s">
        <v>167</v>
      </c>
      <c r="K51" s="128"/>
      <c r="L51" s="128"/>
      <c r="M51" s="128"/>
      <c r="N51" s="128"/>
      <c r="O51" s="128"/>
    </row>
    <row r="52" spans="7:15" x14ac:dyDescent="0.25">
      <c r="G52" s="13" t="s">
        <v>160</v>
      </c>
      <c r="H52" s="13" t="s">
        <v>163</v>
      </c>
      <c r="I52" s="13" t="s">
        <v>167</v>
      </c>
      <c r="K52" s="128"/>
      <c r="L52" s="128"/>
      <c r="M52" s="128"/>
      <c r="N52" s="128"/>
      <c r="O52" s="128"/>
    </row>
    <row r="53" spans="7:15" x14ac:dyDescent="0.25">
      <c r="G53" s="13" t="s">
        <v>165</v>
      </c>
      <c r="H53" s="13" t="s">
        <v>161</v>
      </c>
      <c r="I53" s="13" t="s">
        <v>167</v>
      </c>
      <c r="K53" s="128"/>
      <c r="L53" s="128"/>
      <c r="M53" s="128"/>
      <c r="N53" s="128"/>
      <c r="O53" s="128"/>
    </row>
    <row r="54" spans="7:15" x14ac:dyDescent="0.25">
      <c r="G54" s="13" t="s">
        <v>169</v>
      </c>
      <c r="H54" s="13" t="s">
        <v>172</v>
      </c>
      <c r="I54" s="13" t="s">
        <v>167</v>
      </c>
      <c r="K54" s="128"/>
      <c r="L54" s="128"/>
      <c r="M54" s="128"/>
      <c r="N54" s="128"/>
      <c r="O54" s="128"/>
    </row>
    <row r="55" spans="7:15" x14ac:dyDescent="0.25">
      <c r="G55" s="13" t="s">
        <v>170</v>
      </c>
      <c r="H55" s="13" t="s">
        <v>173</v>
      </c>
      <c r="I55" s="13" t="s">
        <v>167</v>
      </c>
      <c r="K55" s="128"/>
      <c r="L55" s="128"/>
      <c r="M55" s="128"/>
      <c r="N55" s="128"/>
      <c r="O55" s="128"/>
    </row>
    <row r="56" spans="7:15" x14ac:dyDescent="0.25">
      <c r="G56" s="13" t="s">
        <v>181</v>
      </c>
      <c r="H56" s="13" t="s">
        <v>171</v>
      </c>
      <c r="I56" s="13" t="s">
        <v>167</v>
      </c>
      <c r="K56" s="128"/>
      <c r="L56" s="128"/>
      <c r="M56" s="128"/>
      <c r="N56" s="128"/>
      <c r="O56" s="128"/>
    </row>
    <row r="57" spans="7:15" x14ac:dyDescent="0.25">
      <c r="G57" s="13" t="s">
        <v>175</v>
      </c>
      <c r="H57" s="13" t="s">
        <v>180</v>
      </c>
      <c r="I57" s="13" t="s">
        <v>167</v>
      </c>
      <c r="K57" s="128"/>
      <c r="L57" s="128"/>
      <c r="M57" s="128"/>
      <c r="N57" s="128"/>
      <c r="O57" s="128"/>
    </row>
    <row r="58" spans="7:15" x14ac:dyDescent="0.25">
      <c r="G58" s="13" t="s">
        <v>176</v>
      </c>
      <c r="H58" s="13" t="s">
        <v>177</v>
      </c>
      <c r="I58" s="13" t="s">
        <v>167</v>
      </c>
      <c r="K58" s="128"/>
      <c r="L58" s="128"/>
      <c r="M58" s="128"/>
      <c r="N58" s="128"/>
      <c r="O58" s="128"/>
    </row>
    <row r="59" spans="7:15" x14ac:dyDescent="0.25">
      <c r="G59" s="13" t="s">
        <v>178</v>
      </c>
      <c r="H59" s="13" t="s">
        <v>179</v>
      </c>
      <c r="I59" s="13" t="s">
        <v>167</v>
      </c>
      <c r="K59" s="128"/>
      <c r="L59" s="128"/>
      <c r="M59" s="128"/>
      <c r="N59" s="128"/>
      <c r="O59" s="128"/>
    </row>
    <row r="60" spans="7:15" x14ac:dyDescent="0.25">
      <c r="K60" s="128"/>
      <c r="L60" s="128"/>
      <c r="M60" s="128"/>
      <c r="N60" s="128"/>
      <c r="O60" s="128"/>
    </row>
    <row r="61" spans="7:15" x14ac:dyDescent="0.25">
      <c r="G61" s="13" t="s">
        <v>119</v>
      </c>
      <c r="H61" s="13" t="s">
        <v>147</v>
      </c>
      <c r="I61" s="13" t="s">
        <v>166</v>
      </c>
      <c r="K61" s="128"/>
      <c r="L61" s="128"/>
      <c r="M61" s="128"/>
      <c r="N61" s="128"/>
      <c r="O61" s="128"/>
    </row>
    <row r="62" spans="7:15" x14ac:dyDescent="0.25">
      <c r="G62" s="13" t="s">
        <v>148</v>
      </c>
      <c r="H62" s="13" t="s">
        <v>121</v>
      </c>
      <c r="I62" s="13" t="s">
        <v>166</v>
      </c>
      <c r="K62" s="128"/>
      <c r="L62" s="128"/>
      <c r="M62" s="128"/>
      <c r="N62" s="128"/>
      <c r="O62" s="128"/>
    </row>
    <row r="63" spans="7:15" x14ac:dyDescent="0.25">
      <c r="G63" s="13" t="s">
        <v>120</v>
      </c>
      <c r="H63" s="13" t="s">
        <v>149</v>
      </c>
      <c r="I63" s="13" t="s">
        <v>166</v>
      </c>
      <c r="K63" s="128"/>
      <c r="L63" s="128"/>
      <c r="M63" s="128"/>
      <c r="N63" s="128"/>
      <c r="O63" s="128"/>
    </row>
    <row r="64" spans="7:15" x14ac:dyDescent="0.25">
      <c r="G64" s="13" t="s">
        <v>123</v>
      </c>
      <c r="H64" s="13" t="s">
        <v>150</v>
      </c>
      <c r="I64" s="13" t="s">
        <v>166</v>
      </c>
      <c r="K64" s="128"/>
      <c r="L64" s="128"/>
      <c r="M64" s="128"/>
      <c r="N64" s="128"/>
      <c r="O64" s="128"/>
    </row>
    <row r="65" spans="7:15" x14ac:dyDescent="0.25">
      <c r="G65" s="13" t="s">
        <v>151</v>
      </c>
      <c r="H65" s="13" t="s">
        <v>125</v>
      </c>
      <c r="I65" s="13" t="s">
        <v>166</v>
      </c>
      <c r="K65" s="128"/>
      <c r="L65" s="128"/>
      <c r="M65" s="128"/>
      <c r="N65" s="128"/>
      <c r="O65" s="128"/>
    </row>
    <row r="66" spans="7:15" x14ac:dyDescent="0.25">
      <c r="G66" s="13" t="s">
        <v>124</v>
      </c>
      <c r="H66" s="13" t="s">
        <v>152</v>
      </c>
      <c r="I66" s="13" t="s">
        <v>166</v>
      </c>
      <c r="K66" s="128"/>
      <c r="L66" s="128"/>
      <c r="M66" s="128"/>
      <c r="N66" s="128"/>
      <c r="O66" s="128"/>
    </row>
    <row r="67" spans="7:15" x14ac:dyDescent="0.25">
      <c r="G67" s="13" t="s">
        <v>153</v>
      </c>
      <c r="H67" s="13" t="s">
        <v>156</v>
      </c>
      <c r="I67" s="13" t="s">
        <v>166</v>
      </c>
      <c r="K67" s="128"/>
      <c r="L67" s="128"/>
      <c r="M67" s="128"/>
      <c r="N67" s="128"/>
      <c r="O67" s="128"/>
    </row>
    <row r="68" spans="7:15" x14ac:dyDescent="0.25">
      <c r="G68" s="13" t="s">
        <v>154</v>
      </c>
      <c r="H68" s="13" t="s">
        <v>158</v>
      </c>
      <c r="I68" s="13" t="s">
        <v>166</v>
      </c>
      <c r="K68" s="128"/>
      <c r="L68" s="128"/>
      <c r="M68" s="128"/>
      <c r="N68" s="128"/>
      <c r="O68" s="128"/>
    </row>
    <row r="69" spans="7:15" x14ac:dyDescent="0.25">
      <c r="G69" s="13" t="s">
        <v>155</v>
      </c>
      <c r="H69" s="13" t="s">
        <v>157</v>
      </c>
      <c r="I69" s="13" t="s">
        <v>166</v>
      </c>
      <c r="K69" s="128"/>
      <c r="L69" s="128"/>
      <c r="M69" s="128"/>
      <c r="N69" s="128"/>
      <c r="O69" s="128"/>
    </row>
    <row r="70" spans="7:15" x14ac:dyDescent="0.25">
      <c r="K70" s="128"/>
      <c r="L70" s="128"/>
      <c r="M70" s="128"/>
      <c r="N70" s="128"/>
      <c r="O70" s="128"/>
    </row>
    <row r="71" spans="7:15" x14ac:dyDescent="0.25">
      <c r="G71" s="13" t="s">
        <v>159</v>
      </c>
      <c r="H71" s="13" t="s">
        <v>163</v>
      </c>
      <c r="I71" s="13" t="s">
        <v>167</v>
      </c>
      <c r="K71" s="128"/>
      <c r="L71" s="128"/>
      <c r="M71" s="128"/>
      <c r="N71" s="128"/>
      <c r="O71" s="128"/>
    </row>
    <row r="72" spans="7:15" x14ac:dyDescent="0.25">
      <c r="G72" s="13" t="s">
        <v>164</v>
      </c>
      <c r="H72" s="13" t="s">
        <v>161</v>
      </c>
      <c r="I72" s="13" t="s">
        <v>167</v>
      </c>
      <c r="K72" s="128"/>
      <c r="L72" s="128"/>
      <c r="M72" s="128"/>
      <c r="N72" s="128"/>
      <c r="O72" s="128"/>
    </row>
    <row r="73" spans="7:15" x14ac:dyDescent="0.25">
      <c r="G73" s="13" t="s">
        <v>160</v>
      </c>
      <c r="H73" s="13" t="s">
        <v>165</v>
      </c>
      <c r="I73" s="13" t="s">
        <v>167</v>
      </c>
      <c r="K73" s="128"/>
      <c r="L73" s="128"/>
      <c r="M73" s="128"/>
      <c r="N73" s="128"/>
      <c r="O73" s="128"/>
    </row>
    <row r="74" spans="7:15" x14ac:dyDescent="0.25">
      <c r="G74" s="13" t="s">
        <v>169</v>
      </c>
      <c r="H74" s="13" t="s">
        <v>173</v>
      </c>
      <c r="I74" s="13" t="s">
        <v>167</v>
      </c>
      <c r="K74" s="128"/>
      <c r="L74" s="128"/>
      <c r="M74" s="128"/>
      <c r="N74" s="128"/>
      <c r="O74" s="128"/>
    </row>
    <row r="75" spans="7:15" x14ac:dyDescent="0.25">
      <c r="G75" s="13" t="s">
        <v>174</v>
      </c>
      <c r="H75" s="13" t="s">
        <v>171</v>
      </c>
      <c r="I75" s="13" t="s">
        <v>167</v>
      </c>
      <c r="K75" s="128"/>
      <c r="L75" s="128"/>
      <c r="M75" s="128"/>
      <c r="N75" s="128"/>
      <c r="O75" s="128"/>
    </row>
    <row r="76" spans="7:15" x14ac:dyDescent="0.25">
      <c r="G76" s="13" t="s">
        <v>170</v>
      </c>
      <c r="H76" s="13" t="s">
        <v>181</v>
      </c>
      <c r="I76" s="13" t="s">
        <v>167</v>
      </c>
      <c r="K76" s="128"/>
      <c r="L76" s="128"/>
      <c r="M76" s="128"/>
      <c r="N76" s="128"/>
      <c r="O76" s="128"/>
    </row>
    <row r="77" spans="7:15" x14ac:dyDescent="0.25">
      <c r="G77" s="13" t="s">
        <v>175</v>
      </c>
      <c r="H77" s="13" t="s">
        <v>178</v>
      </c>
      <c r="I77" s="13" t="s">
        <v>167</v>
      </c>
      <c r="K77" s="128"/>
      <c r="L77" s="128"/>
      <c r="M77" s="128"/>
      <c r="N77" s="128"/>
      <c r="O77" s="128"/>
    </row>
    <row r="78" spans="7:15" x14ac:dyDescent="0.25">
      <c r="G78" s="13" t="s">
        <v>176</v>
      </c>
      <c r="H78" s="13" t="s">
        <v>180</v>
      </c>
      <c r="I78" s="13" t="s">
        <v>167</v>
      </c>
      <c r="K78" s="128"/>
      <c r="L78" s="128"/>
      <c r="M78" s="128"/>
      <c r="N78" s="128"/>
      <c r="O78" s="128"/>
    </row>
    <row r="79" spans="7:15" x14ac:dyDescent="0.25">
      <c r="G79" s="13" t="s">
        <v>177</v>
      </c>
      <c r="H79" s="13" t="s">
        <v>179</v>
      </c>
      <c r="I79" s="13" t="s">
        <v>167</v>
      </c>
      <c r="K79" s="128"/>
      <c r="L79" s="128"/>
      <c r="M79" s="128"/>
      <c r="N79" s="128"/>
      <c r="O79" s="128"/>
    </row>
    <row r="80" spans="7:15" x14ac:dyDescent="0.25">
      <c r="K80" s="128"/>
      <c r="L80" s="128"/>
      <c r="M80" s="128"/>
      <c r="N80" s="128"/>
      <c r="O80" s="128"/>
    </row>
    <row r="81" spans="7:15" x14ac:dyDescent="0.25">
      <c r="G81" s="13" t="s">
        <v>121</v>
      </c>
      <c r="H81" s="13" t="s">
        <v>147</v>
      </c>
      <c r="I81" s="13" t="s">
        <v>166</v>
      </c>
      <c r="K81" s="128"/>
      <c r="L81" s="128"/>
      <c r="M81" s="128"/>
      <c r="N81" s="128"/>
      <c r="O81" s="128"/>
    </row>
    <row r="82" spans="7:15" x14ac:dyDescent="0.25">
      <c r="G82" s="13" t="s">
        <v>120</v>
      </c>
      <c r="H82" s="13" t="s">
        <v>148</v>
      </c>
      <c r="I82" s="13" t="s">
        <v>166</v>
      </c>
      <c r="K82" s="128"/>
      <c r="L82" s="128"/>
      <c r="M82" s="128"/>
      <c r="N82" s="128"/>
      <c r="O82" s="128"/>
    </row>
    <row r="83" spans="7:15" x14ac:dyDescent="0.25">
      <c r="G83" s="13" t="s">
        <v>122</v>
      </c>
      <c r="H83" s="13" t="s">
        <v>149</v>
      </c>
      <c r="I83" s="13" t="s">
        <v>166</v>
      </c>
      <c r="K83" s="128"/>
      <c r="L83" s="128"/>
      <c r="M83" s="128"/>
      <c r="N83" s="128"/>
      <c r="O83" s="128"/>
    </row>
    <row r="84" spans="7:15" x14ac:dyDescent="0.25">
      <c r="G84" s="13" t="s">
        <v>125</v>
      </c>
      <c r="H84" s="13" t="s">
        <v>150</v>
      </c>
      <c r="I84" s="13" t="s">
        <v>166</v>
      </c>
      <c r="K84" s="128"/>
      <c r="L84" s="128"/>
      <c r="M84" s="128"/>
      <c r="N84" s="128"/>
      <c r="O84" s="128"/>
    </row>
    <row r="85" spans="7:15" x14ac:dyDescent="0.25">
      <c r="G85" s="13" t="s">
        <v>124</v>
      </c>
      <c r="H85" s="13" t="s">
        <v>151</v>
      </c>
      <c r="I85" s="13" t="s">
        <v>166</v>
      </c>
      <c r="K85" s="128"/>
      <c r="L85" s="128"/>
      <c r="M85" s="128"/>
      <c r="N85" s="128"/>
      <c r="O85" s="128"/>
    </row>
    <row r="86" spans="7:15" x14ac:dyDescent="0.25">
      <c r="G86" s="13" t="s">
        <v>126</v>
      </c>
      <c r="H86" s="13" t="s">
        <v>152</v>
      </c>
      <c r="I86" s="13" t="s">
        <v>166</v>
      </c>
      <c r="K86" s="128"/>
      <c r="L86" s="128"/>
      <c r="M86" s="128"/>
      <c r="N86" s="128"/>
      <c r="O86" s="128"/>
    </row>
    <row r="87" spans="7:15" x14ac:dyDescent="0.25">
      <c r="G87" s="13" t="s">
        <v>153</v>
      </c>
      <c r="H87" s="13" t="s">
        <v>157</v>
      </c>
      <c r="I87" s="13" t="s">
        <v>166</v>
      </c>
      <c r="K87" s="128"/>
      <c r="L87" s="128"/>
      <c r="M87" s="128"/>
      <c r="N87" s="128"/>
      <c r="O87" s="128"/>
    </row>
    <row r="88" spans="7:15" x14ac:dyDescent="0.25">
      <c r="G88" s="13" t="s">
        <v>154</v>
      </c>
      <c r="H88" s="13" t="s">
        <v>156</v>
      </c>
      <c r="I88" s="13" t="s">
        <v>166</v>
      </c>
      <c r="K88" s="128"/>
      <c r="L88" s="128"/>
      <c r="M88" s="128"/>
      <c r="N88" s="128"/>
      <c r="O88" s="128"/>
    </row>
    <row r="89" spans="7:15" x14ac:dyDescent="0.25">
      <c r="G89" s="13" t="s">
        <v>155</v>
      </c>
      <c r="H89" s="13" t="s">
        <v>158</v>
      </c>
      <c r="I89" s="13" t="s">
        <v>166</v>
      </c>
      <c r="K89" s="128"/>
      <c r="L89" s="128"/>
      <c r="M89" s="128"/>
      <c r="N89" s="128"/>
      <c r="O89" s="128"/>
    </row>
    <row r="90" spans="7:15" x14ac:dyDescent="0.25">
      <c r="K90" s="128"/>
      <c r="L90" s="128"/>
      <c r="M90" s="128"/>
      <c r="N90" s="128"/>
      <c r="O90" s="128"/>
    </row>
    <row r="91" spans="7:15" x14ac:dyDescent="0.25">
      <c r="G91" s="13" t="s">
        <v>161</v>
      </c>
      <c r="H91" s="13" t="s">
        <v>163</v>
      </c>
      <c r="I91" s="13" t="s">
        <v>167</v>
      </c>
      <c r="K91" s="128"/>
      <c r="L91" s="128"/>
      <c r="M91" s="128"/>
      <c r="N91" s="128"/>
      <c r="O91" s="128"/>
    </row>
    <row r="92" spans="7:15" x14ac:dyDescent="0.25">
      <c r="G92" s="13" t="s">
        <v>160</v>
      </c>
      <c r="H92" s="13" t="s">
        <v>164</v>
      </c>
      <c r="I92" s="13" t="s">
        <v>167</v>
      </c>
      <c r="K92" s="128"/>
      <c r="L92" s="128"/>
      <c r="M92" s="128"/>
      <c r="N92" s="128"/>
      <c r="O92" s="128"/>
    </row>
    <row r="93" spans="7:15" x14ac:dyDescent="0.25">
      <c r="G93" s="13" t="s">
        <v>162</v>
      </c>
      <c r="H93" s="13" t="s">
        <v>165</v>
      </c>
      <c r="I93" s="13" t="s">
        <v>167</v>
      </c>
      <c r="K93" s="128"/>
      <c r="L93" s="128"/>
      <c r="M93" s="128"/>
      <c r="N93" s="128"/>
      <c r="O93" s="128"/>
    </row>
    <row r="94" spans="7:15" x14ac:dyDescent="0.25">
      <c r="G94" s="13" t="s">
        <v>171</v>
      </c>
      <c r="H94" s="13" t="s">
        <v>173</v>
      </c>
      <c r="I94" s="13" t="s">
        <v>167</v>
      </c>
      <c r="K94" s="128"/>
      <c r="L94" s="128"/>
      <c r="M94" s="128"/>
      <c r="N94" s="128"/>
      <c r="O94" s="128"/>
    </row>
    <row r="95" spans="7:15" x14ac:dyDescent="0.25">
      <c r="G95" s="13" t="s">
        <v>170</v>
      </c>
      <c r="H95" s="13" t="s">
        <v>174</v>
      </c>
      <c r="I95" s="13" t="s">
        <v>167</v>
      </c>
      <c r="K95" s="128"/>
      <c r="L95" s="128"/>
      <c r="M95" s="128"/>
      <c r="N95" s="128"/>
      <c r="O95" s="128"/>
    </row>
    <row r="96" spans="7:15" x14ac:dyDescent="0.25">
      <c r="G96" s="13" t="s">
        <v>172</v>
      </c>
      <c r="H96" s="13" t="s">
        <v>181</v>
      </c>
      <c r="I96" s="13" t="s">
        <v>167</v>
      </c>
      <c r="K96" s="128"/>
      <c r="L96" s="128"/>
      <c r="M96" s="128"/>
      <c r="N96" s="128"/>
      <c r="O96" s="128"/>
    </row>
    <row r="97" spans="7:15" x14ac:dyDescent="0.25">
      <c r="G97" s="13" t="s">
        <v>175</v>
      </c>
      <c r="H97" s="13" t="s">
        <v>179</v>
      </c>
      <c r="I97" s="13" t="s">
        <v>167</v>
      </c>
      <c r="K97" s="128"/>
      <c r="L97" s="128"/>
      <c r="M97" s="128"/>
      <c r="N97" s="128"/>
      <c r="O97" s="128"/>
    </row>
    <row r="98" spans="7:15" x14ac:dyDescent="0.25">
      <c r="G98" s="13" t="s">
        <v>176</v>
      </c>
      <c r="H98" s="13" t="s">
        <v>178</v>
      </c>
      <c r="I98" s="13" t="s">
        <v>167</v>
      </c>
      <c r="K98" s="128"/>
      <c r="L98" s="128"/>
      <c r="M98" s="128"/>
      <c r="N98" s="128"/>
      <c r="O98" s="128"/>
    </row>
    <row r="99" spans="7:15" x14ac:dyDescent="0.25">
      <c r="G99" s="13" t="s">
        <v>177</v>
      </c>
      <c r="H99" s="13" t="s">
        <v>180</v>
      </c>
      <c r="I99" s="13" t="s">
        <v>167</v>
      </c>
      <c r="K99" s="128"/>
      <c r="L99" s="128"/>
      <c r="M99" s="128"/>
      <c r="N99" s="128"/>
      <c r="O99" s="128"/>
    </row>
    <row r="100" spans="7:15" x14ac:dyDescent="0.25">
      <c r="K100" s="128"/>
      <c r="L100" s="128"/>
      <c r="M100" s="128"/>
      <c r="N100" s="128"/>
      <c r="O100" s="128"/>
    </row>
    <row r="101" spans="7:15" x14ac:dyDescent="0.25">
      <c r="G101" s="13" t="s">
        <v>119</v>
      </c>
      <c r="H101" s="13" t="s">
        <v>148</v>
      </c>
      <c r="I101" s="13" t="s">
        <v>166</v>
      </c>
      <c r="K101" s="128"/>
      <c r="L101" s="128"/>
      <c r="M101" s="128"/>
      <c r="N101" s="128"/>
      <c r="O101" s="128"/>
    </row>
    <row r="102" spans="7:15" x14ac:dyDescent="0.25">
      <c r="G102" s="13" t="s">
        <v>120</v>
      </c>
      <c r="H102" s="13" t="s">
        <v>122</v>
      </c>
      <c r="I102" s="13" t="s">
        <v>166</v>
      </c>
      <c r="K102" s="128"/>
      <c r="L102" s="128"/>
      <c r="M102" s="128"/>
      <c r="N102" s="128"/>
      <c r="O102" s="128"/>
    </row>
    <row r="103" spans="7:15" x14ac:dyDescent="0.25">
      <c r="G103" s="13" t="s">
        <v>147</v>
      </c>
      <c r="H103" s="13" t="s">
        <v>149</v>
      </c>
      <c r="I103" s="13" t="s">
        <v>166</v>
      </c>
      <c r="K103" s="128"/>
      <c r="L103" s="128"/>
      <c r="M103" s="128"/>
      <c r="N103" s="128"/>
      <c r="O103" s="128"/>
    </row>
    <row r="104" spans="7:15" x14ac:dyDescent="0.25">
      <c r="G104" s="13" t="s">
        <v>123</v>
      </c>
      <c r="H104" s="13" t="s">
        <v>151</v>
      </c>
      <c r="I104" s="13" t="s">
        <v>166</v>
      </c>
      <c r="K104" s="128"/>
      <c r="L104" s="128"/>
      <c r="M104" s="128"/>
      <c r="N104" s="128"/>
      <c r="O104" s="128"/>
    </row>
    <row r="105" spans="7:15" x14ac:dyDescent="0.25">
      <c r="G105" s="13" t="s">
        <v>124</v>
      </c>
      <c r="H105" s="13" t="s">
        <v>126</v>
      </c>
      <c r="I105" s="13" t="s">
        <v>166</v>
      </c>
      <c r="K105" s="128"/>
      <c r="L105" s="128"/>
      <c r="M105" s="128"/>
      <c r="N105" s="128"/>
      <c r="O105" s="128"/>
    </row>
    <row r="106" spans="7:15" x14ac:dyDescent="0.25">
      <c r="G106" s="13" t="s">
        <v>150</v>
      </c>
      <c r="H106" s="13" t="s">
        <v>152</v>
      </c>
      <c r="I106" s="13" t="s">
        <v>166</v>
      </c>
      <c r="K106" s="128"/>
      <c r="L106" s="128"/>
      <c r="M106" s="128"/>
      <c r="N106" s="128"/>
      <c r="O106" s="128"/>
    </row>
    <row r="107" spans="7:15" x14ac:dyDescent="0.25">
      <c r="G107" s="13" t="s">
        <v>159</v>
      </c>
      <c r="H107" s="13" t="s">
        <v>164</v>
      </c>
      <c r="I107" s="13" t="s">
        <v>167</v>
      </c>
      <c r="K107" s="128"/>
      <c r="L107" s="128"/>
      <c r="M107" s="128"/>
      <c r="N107" s="128"/>
      <c r="O107" s="128"/>
    </row>
    <row r="108" spans="7:15" x14ac:dyDescent="0.25">
      <c r="G108" s="13" t="s">
        <v>160</v>
      </c>
      <c r="H108" s="13" t="s">
        <v>162</v>
      </c>
      <c r="I108" s="13" t="s">
        <v>167</v>
      </c>
      <c r="K108" s="128"/>
      <c r="L108" s="128"/>
      <c r="M108" s="128"/>
      <c r="N108" s="128"/>
      <c r="O108" s="128"/>
    </row>
    <row r="109" spans="7:15" x14ac:dyDescent="0.25">
      <c r="G109" s="13" t="s">
        <v>163</v>
      </c>
      <c r="H109" s="13" t="s">
        <v>165</v>
      </c>
      <c r="I109" s="13" t="s">
        <v>167</v>
      </c>
      <c r="K109" s="128"/>
      <c r="L109" s="128"/>
      <c r="M109" s="128"/>
      <c r="N109" s="128"/>
      <c r="O109" s="128"/>
    </row>
    <row r="110" spans="7:15" x14ac:dyDescent="0.25">
      <c r="K110" s="128"/>
      <c r="L110" s="128"/>
      <c r="M110" s="128"/>
      <c r="N110" s="128"/>
      <c r="O110" s="128"/>
    </row>
    <row r="111" spans="7:15" x14ac:dyDescent="0.25">
      <c r="G111" s="13" t="s">
        <v>169</v>
      </c>
      <c r="H111" s="13" t="s">
        <v>181</v>
      </c>
      <c r="I111" s="13" t="s">
        <v>167</v>
      </c>
      <c r="K111" s="128"/>
      <c r="L111" s="128"/>
      <c r="M111" s="128"/>
      <c r="N111" s="128"/>
      <c r="O111" s="128"/>
    </row>
    <row r="112" spans="7:15" x14ac:dyDescent="0.25">
      <c r="G112" s="13" t="s">
        <v>170</v>
      </c>
      <c r="H112" s="13" t="s">
        <v>171</v>
      </c>
      <c r="I112" s="13" t="s">
        <v>167</v>
      </c>
      <c r="K112" s="128"/>
      <c r="L112" s="128"/>
      <c r="M112" s="128"/>
      <c r="N112" s="128"/>
      <c r="O112" s="128"/>
    </row>
    <row r="113" spans="7:15" x14ac:dyDescent="0.25">
      <c r="G113" s="13" t="s">
        <v>172</v>
      </c>
      <c r="H113" s="13" t="s">
        <v>174</v>
      </c>
      <c r="I113" s="13" t="s">
        <v>167</v>
      </c>
      <c r="K113" s="128"/>
      <c r="L113" s="128"/>
      <c r="M113" s="128"/>
      <c r="N113" s="128"/>
      <c r="O113" s="128"/>
    </row>
    <row r="114" spans="7:15" x14ac:dyDescent="0.25">
      <c r="G114" s="13" t="s">
        <v>182</v>
      </c>
      <c r="H114" s="13" t="s">
        <v>182</v>
      </c>
      <c r="K114" s="128"/>
      <c r="L114" s="128"/>
      <c r="M114" s="128"/>
      <c r="N114" s="128"/>
      <c r="O114" s="128"/>
    </row>
    <row r="115" spans="7:15" x14ac:dyDescent="0.25">
      <c r="G115" s="13" t="s">
        <v>182</v>
      </c>
      <c r="H115" s="13" t="s">
        <v>182</v>
      </c>
      <c r="K115" s="128"/>
      <c r="L115" s="128"/>
      <c r="M115" s="128"/>
      <c r="N115" s="128"/>
      <c r="O115" s="128"/>
    </row>
    <row r="116" spans="7:15" x14ac:dyDescent="0.25">
      <c r="G116" s="13" t="s">
        <v>182</v>
      </c>
      <c r="H116" s="13" t="s">
        <v>182</v>
      </c>
      <c r="K116" s="128"/>
      <c r="L116" s="128"/>
      <c r="M116" s="128"/>
      <c r="N116" s="128"/>
      <c r="O116" s="128"/>
    </row>
    <row r="117" spans="7:15" x14ac:dyDescent="0.25">
      <c r="G117" s="13" t="s">
        <v>182</v>
      </c>
      <c r="H117" s="13" t="s">
        <v>182</v>
      </c>
    </row>
    <row r="118" spans="7:15" x14ac:dyDescent="0.25">
      <c r="G118" s="13" t="s">
        <v>182</v>
      </c>
      <c r="H118" s="13" t="s">
        <v>182</v>
      </c>
    </row>
    <row r="119" spans="7:15" x14ac:dyDescent="0.25">
      <c r="G119" s="13" t="s">
        <v>182</v>
      </c>
      <c r="H119" s="13" t="s">
        <v>182</v>
      </c>
    </row>
    <row r="121" spans="7:15" x14ac:dyDescent="0.25">
      <c r="G121" s="13" t="s">
        <v>119</v>
      </c>
      <c r="H121" s="13" t="s">
        <v>149</v>
      </c>
      <c r="I121" s="13" t="s">
        <v>166</v>
      </c>
    </row>
    <row r="122" spans="7:15" x14ac:dyDescent="0.25">
      <c r="G122" s="13" t="s">
        <v>120</v>
      </c>
      <c r="H122" s="13" t="s">
        <v>121</v>
      </c>
      <c r="I122" s="13" t="s">
        <v>166</v>
      </c>
    </row>
    <row r="123" spans="7:15" x14ac:dyDescent="0.25">
      <c r="G123" s="13" t="s">
        <v>122</v>
      </c>
      <c r="H123" s="13" t="s">
        <v>148</v>
      </c>
      <c r="I123" s="13" t="s">
        <v>166</v>
      </c>
    </row>
    <row r="124" spans="7:15" x14ac:dyDescent="0.25">
      <c r="G124" s="13" t="s">
        <v>123</v>
      </c>
      <c r="H124" s="13" t="s">
        <v>152</v>
      </c>
      <c r="I124" s="13" t="s">
        <v>166</v>
      </c>
    </row>
    <row r="125" spans="7:15" x14ac:dyDescent="0.25">
      <c r="G125" s="13" t="s">
        <v>124</v>
      </c>
      <c r="H125" s="13" t="s">
        <v>125</v>
      </c>
      <c r="I125" s="13" t="s">
        <v>166</v>
      </c>
    </row>
    <row r="126" spans="7:15" x14ac:dyDescent="0.25">
      <c r="G126" s="13" t="s">
        <v>126</v>
      </c>
      <c r="H126" s="13" t="s">
        <v>151</v>
      </c>
      <c r="I126" s="13" t="s">
        <v>166</v>
      </c>
    </row>
    <row r="127" spans="7:15" x14ac:dyDescent="0.25">
      <c r="G127" s="13" t="s">
        <v>159</v>
      </c>
      <c r="H127" s="13" t="s">
        <v>165</v>
      </c>
      <c r="I127" s="13" t="s">
        <v>167</v>
      </c>
    </row>
    <row r="128" spans="7:15" x14ac:dyDescent="0.25">
      <c r="G128" s="13" t="s">
        <v>160</v>
      </c>
      <c r="H128" s="13" t="s">
        <v>161</v>
      </c>
      <c r="I128" s="13" t="s">
        <v>167</v>
      </c>
    </row>
    <row r="129" spans="7:9" x14ac:dyDescent="0.25">
      <c r="G129" s="13" t="s">
        <v>162</v>
      </c>
      <c r="H129" s="13" t="s">
        <v>164</v>
      </c>
      <c r="I129" s="13" t="s">
        <v>167</v>
      </c>
    </row>
    <row r="131" spans="7:9" x14ac:dyDescent="0.25">
      <c r="G131" s="13" t="s">
        <v>169</v>
      </c>
      <c r="H131" s="13" t="s">
        <v>174</v>
      </c>
      <c r="I131" s="13" t="s">
        <v>167</v>
      </c>
    </row>
    <row r="132" spans="7:9" x14ac:dyDescent="0.25">
      <c r="G132" s="13" t="s">
        <v>170</v>
      </c>
      <c r="H132" s="13" t="s">
        <v>172</v>
      </c>
      <c r="I132" s="13" t="s">
        <v>167</v>
      </c>
    </row>
    <row r="133" spans="7:9" x14ac:dyDescent="0.25">
      <c r="G133" s="13" t="s">
        <v>173</v>
      </c>
      <c r="H133" s="13" t="s">
        <v>181</v>
      </c>
      <c r="I133" s="13" t="s">
        <v>167</v>
      </c>
    </row>
    <row r="134" spans="7:9" x14ac:dyDescent="0.25">
      <c r="G134" s="13" t="s">
        <v>182</v>
      </c>
      <c r="H134" s="13" t="s">
        <v>182</v>
      </c>
    </row>
    <row r="135" spans="7:9" x14ac:dyDescent="0.25">
      <c r="G135" s="13" t="s">
        <v>182</v>
      </c>
      <c r="H135" s="13" t="s">
        <v>182</v>
      </c>
    </row>
    <row r="136" spans="7:9" x14ac:dyDescent="0.25">
      <c r="G136" s="13" t="s">
        <v>182</v>
      </c>
      <c r="H136" s="13" t="s">
        <v>182</v>
      </c>
    </row>
    <row r="137" spans="7:9" x14ac:dyDescent="0.25">
      <c r="G137" s="13" t="s">
        <v>182</v>
      </c>
      <c r="H137" s="13" t="s">
        <v>182</v>
      </c>
    </row>
    <row r="138" spans="7:9" x14ac:dyDescent="0.25">
      <c r="G138" s="13" t="s">
        <v>182</v>
      </c>
      <c r="H138" s="13" t="s">
        <v>182</v>
      </c>
    </row>
    <row r="139" spans="7:9" x14ac:dyDescent="0.25">
      <c r="G139" s="13" t="s">
        <v>182</v>
      </c>
      <c r="H139" s="13" t="s">
        <v>182</v>
      </c>
    </row>
  </sheetData>
  <sheetProtection selectLockedCells="1"/>
  <mergeCells count="10">
    <mergeCell ref="M21:N21"/>
    <mergeCell ref="M25:N25"/>
    <mergeCell ref="M30:N30"/>
    <mergeCell ref="M34:N34"/>
    <mergeCell ref="M1:N1"/>
    <mergeCell ref="M2:N2"/>
    <mergeCell ref="M3:N3"/>
    <mergeCell ref="M7:N7"/>
    <mergeCell ref="M12:N12"/>
    <mergeCell ref="M16:N16"/>
  </mergeCells>
  <dataValidations disablePrompts="1" count="1">
    <dataValidation allowBlank="1" showInputMessage="1" sqref="G28:H38 I1:I29 G15:H26 I31:I119 I121:I1048576" xr:uid="{6AE9FDD4-804C-4EA5-9372-FEF280F29BFF}"/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topLeftCell="A91" workbookViewId="0">
      <selection activeCell="I111" sqref="I1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76" t="s">
        <v>58</v>
      </c>
      <c r="C2" s="177"/>
      <c r="D2" s="177"/>
      <c r="E2" s="177"/>
      <c r="F2" s="177"/>
      <c r="G2" s="177"/>
      <c r="H2" s="177"/>
      <c r="I2" s="178"/>
    </row>
    <row r="4" spans="1:15" x14ac:dyDescent="0.25">
      <c r="B4" s="47" t="s">
        <v>59</v>
      </c>
      <c r="C4" s="47">
        <v>1</v>
      </c>
      <c r="E4" s="50" t="s">
        <v>59</v>
      </c>
      <c r="F4" s="51">
        <v>1</v>
      </c>
      <c r="H4" s="50" t="s">
        <v>59</v>
      </c>
      <c r="I4" s="51">
        <v>4</v>
      </c>
    </row>
    <row r="5" spans="1:15" x14ac:dyDescent="0.25">
      <c r="B5" s="47" t="s">
        <v>60</v>
      </c>
      <c r="C5" s="47">
        <v>3</v>
      </c>
      <c r="E5" s="52" t="s">
        <v>61</v>
      </c>
      <c r="F5" s="51">
        <v>3</v>
      </c>
      <c r="H5" s="52" t="s">
        <v>61</v>
      </c>
      <c r="I5" s="51">
        <v>2</v>
      </c>
    </row>
    <row r="6" spans="1:15" x14ac:dyDescent="0.25">
      <c r="B6" s="47" t="s">
        <v>62</v>
      </c>
      <c r="C6" s="47">
        <v>2</v>
      </c>
      <c r="E6" s="52" t="s">
        <v>63</v>
      </c>
      <c r="F6" s="51">
        <v>2</v>
      </c>
      <c r="H6" s="52" t="s">
        <v>63</v>
      </c>
      <c r="I6" s="51">
        <v>3</v>
      </c>
    </row>
    <row r="7" spans="1:15" x14ac:dyDescent="0.25">
      <c r="B7" s="47" t="s">
        <v>64</v>
      </c>
      <c r="C7" s="47">
        <v>4</v>
      </c>
      <c r="E7" s="52" t="s">
        <v>65</v>
      </c>
      <c r="F7" s="51">
        <v>4</v>
      </c>
      <c r="H7" s="52" t="s">
        <v>65</v>
      </c>
      <c r="I7" s="51">
        <v>1</v>
      </c>
    </row>
    <row r="8" spans="1:15" x14ac:dyDescent="0.25">
      <c r="B8" s="47" t="s">
        <v>66</v>
      </c>
      <c r="C8" s="47">
        <v>4</v>
      </c>
    </row>
    <row r="9" spans="1:15" x14ac:dyDescent="0.25">
      <c r="B9" s="47" t="s">
        <v>67</v>
      </c>
      <c r="C9" s="47">
        <v>2</v>
      </c>
    </row>
    <row r="10" spans="1:15" x14ac:dyDescent="0.25">
      <c r="B10" s="47" t="s">
        <v>68</v>
      </c>
      <c r="C10" s="47">
        <v>3</v>
      </c>
    </row>
    <row r="11" spans="1:15" x14ac:dyDescent="0.25">
      <c r="B11" s="47" t="s">
        <v>69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79" t="s">
        <v>70</v>
      </c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79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59</v>
      </c>
      <c r="C15" s="47">
        <v>1</v>
      </c>
      <c r="D15" s="2"/>
      <c r="E15" s="50" t="s">
        <v>59</v>
      </c>
      <c r="F15" s="51">
        <v>1</v>
      </c>
      <c r="G15" s="2"/>
      <c r="H15" s="50" t="s">
        <v>59</v>
      </c>
      <c r="I15" s="51">
        <v>4</v>
      </c>
      <c r="J15" s="2"/>
      <c r="K15" s="48" t="s">
        <v>59</v>
      </c>
      <c r="L15" s="45">
        <v>1</v>
      </c>
      <c r="M15" s="2"/>
      <c r="N15" s="48" t="s">
        <v>59</v>
      </c>
      <c r="O15" s="45">
        <v>2</v>
      </c>
    </row>
    <row r="16" spans="1:15" x14ac:dyDescent="0.25">
      <c r="A16" s="2"/>
      <c r="B16" s="54" t="s">
        <v>61</v>
      </c>
      <c r="C16" s="47">
        <v>3</v>
      </c>
      <c r="D16" s="2"/>
      <c r="E16" s="52" t="s">
        <v>61</v>
      </c>
      <c r="F16" s="51">
        <v>3</v>
      </c>
      <c r="G16" s="2"/>
      <c r="H16" s="52" t="s">
        <v>61</v>
      </c>
      <c r="I16" s="51">
        <v>2</v>
      </c>
      <c r="J16" s="2"/>
      <c r="K16" s="48" t="s">
        <v>61</v>
      </c>
      <c r="L16" s="45">
        <v>3</v>
      </c>
      <c r="M16" s="2"/>
      <c r="N16" s="49" t="s">
        <v>61</v>
      </c>
      <c r="O16" s="45">
        <v>3</v>
      </c>
    </row>
    <row r="17" spans="1:15" x14ac:dyDescent="0.25">
      <c r="A17" s="2"/>
      <c r="B17" s="54" t="s">
        <v>63</v>
      </c>
      <c r="C17" s="47">
        <v>2</v>
      </c>
      <c r="D17" s="2"/>
      <c r="E17" s="52" t="s">
        <v>63</v>
      </c>
      <c r="F17" s="51">
        <v>2</v>
      </c>
      <c r="G17" s="2"/>
      <c r="H17" s="52" t="s">
        <v>63</v>
      </c>
      <c r="I17" s="51">
        <v>3</v>
      </c>
      <c r="J17" s="2"/>
      <c r="K17" s="48" t="s">
        <v>71</v>
      </c>
      <c r="L17" s="45">
        <v>5</v>
      </c>
      <c r="M17" s="2"/>
      <c r="N17" s="48" t="s">
        <v>72</v>
      </c>
      <c r="O17" s="45">
        <v>4</v>
      </c>
    </row>
    <row r="18" spans="1:15" x14ac:dyDescent="0.25">
      <c r="A18" s="2"/>
      <c r="B18" s="54" t="s">
        <v>65</v>
      </c>
      <c r="C18" s="47">
        <v>4</v>
      </c>
      <c r="D18" s="2"/>
      <c r="E18" s="52" t="s">
        <v>65</v>
      </c>
      <c r="F18" s="51">
        <v>4</v>
      </c>
      <c r="G18" s="2"/>
      <c r="H18" s="52" t="s">
        <v>71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73</v>
      </c>
      <c r="C19" s="47">
        <v>4</v>
      </c>
      <c r="D19" s="2"/>
      <c r="E19" s="50" t="s">
        <v>73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74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59</v>
      </c>
      <c r="L20" s="45">
        <v>4</v>
      </c>
      <c r="M20" s="2"/>
      <c r="N20" s="2"/>
      <c r="O20" s="2"/>
    </row>
    <row r="21" spans="1:15" x14ac:dyDescent="0.25">
      <c r="A21" s="2"/>
      <c r="B21" s="54" t="s">
        <v>75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61</v>
      </c>
      <c r="L21" s="45">
        <v>2</v>
      </c>
      <c r="M21" s="2"/>
      <c r="N21" s="2"/>
      <c r="O21" s="2"/>
    </row>
    <row r="22" spans="1:15" x14ac:dyDescent="0.25">
      <c r="A22" s="2"/>
      <c r="B22" s="54" t="s">
        <v>76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72</v>
      </c>
      <c r="L22" s="45">
        <v>1</v>
      </c>
      <c r="M22" s="2"/>
      <c r="N22" s="2"/>
      <c r="O22" s="2"/>
    </row>
    <row r="23" spans="1:15" x14ac:dyDescent="0.25">
      <c r="A23" s="2"/>
      <c r="B23" s="53" t="s">
        <v>77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79" t="s">
        <v>78</v>
      </c>
      <c r="C26" s="179"/>
      <c r="D26" s="179"/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59</v>
      </c>
      <c r="C28" s="47">
        <v>1</v>
      </c>
      <c r="D28" s="2"/>
      <c r="E28" s="51" t="s">
        <v>59</v>
      </c>
      <c r="F28" s="51">
        <v>1</v>
      </c>
      <c r="G28" s="2"/>
      <c r="H28" s="51" t="s">
        <v>59</v>
      </c>
      <c r="I28" s="51">
        <v>4</v>
      </c>
      <c r="J28" s="2"/>
      <c r="K28" s="45" t="s">
        <v>59</v>
      </c>
      <c r="L28" s="45">
        <v>2</v>
      </c>
      <c r="M28" s="2"/>
      <c r="N28" s="45" t="s">
        <v>59</v>
      </c>
      <c r="O28" s="45">
        <v>1</v>
      </c>
    </row>
    <row r="29" spans="1:15" x14ac:dyDescent="0.25">
      <c r="A29" s="2"/>
      <c r="B29" s="47" t="s">
        <v>60</v>
      </c>
      <c r="C29" s="47">
        <v>3</v>
      </c>
      <c r="D29" s="2"/>
      <c r="E29" s="51" t="s">
        <v>61</v>
      </c>
      <c r="F29" s="51">
        <v>3</v>
      </c>
      <c r="G29" s="2"/>
      <c r="H29" s="51" t="s">
        <v>61</v>
      </c>
      <c r="I29" s="51">
        <v>2</v>
      </c>
      <c r="J29" s="2"/>
      <c r="K29" s="45" t="s">
        <v>61</v>
      </c>
      <c r="L29" s="45">
        <v>3</v>
      </c>
      <c r="M29" s="2"/>
      <c r="N29" s="45" t="s">
        <v>61</v>
      </c>
      <c r="O29" s="45">
        <v>4</v>
      </c>
    </row>
    <row r="30" spans="1:15" x14ac:dyDescent="0.25">
      <c r="A30" s="2"/>
      <c r="B30" s="47" t="s">
        <v>62</v>
      </c>
      <c r="C30" s="47">
        <v>2</v>
      </c>
      <c r="D30" s="2"/>
      <c r="E30" s="51" t="s">
        <v>63</v>
      </c>
      <c r="F30" s="51">
        <v>2</v>
      </c>
      <c r="G30" s="2"/>
      <c r="H30" s="51" t="s">
        <v>63</v>
      </c>
      <c r="I30" s="51">
        <v>3</v>
      </c>
      <c r="J30" s="2"/>
      <c r="K30" s="45" t="s">
        <v>72</v>
      </c>
      <c r="L30" s="45">
        <v>1</v>
      </c>
      <c r="M30" s="2"/>
      <c r="N30" s="45" t="s">
        <v>72</v>
      </c>
      <c r="O30" s="45">
        <v>2</v>
      </c>
    </row>
    <row r="31" spans="1:15" x14ac:dyDescent="0.25">
      <c r="A31" s="2"/>
      <c r="B31" s="47" t="s">
        <v>64</v>
      </c>
      <c r="C31" s="47">
        <v>4</v>
      </c>
      <c r="D31" s="2"/>
      <c r="E31" s="51" t="s">
        <v>65</v>
      </c>
      <c r="F31" s="51">
        <v>4</v>
      </c>
      <c r="G31" s="2"/>
      <c r="H31" s="51" t="s">
        <v>65</v>
      </c>
      <c r="I31" s="51">
        <v>1</v>
      </c>
      <c r="J31" s="2"/>
      <c r="K31" s="45" t="s">
        <v>65</v>
      </c>
      <c r="L31" s="45">
        <v>5</v>
      </c>
      <c r="M31" s="2"/>
      <c r="N31" s="2"/>
      <c r="O31" s="2"/>
    </row>
    <row r="32" spans="1:15" x14ac:dyDescent="0.25">
      <c r="A32" s="2"/>
      <c r="B32" s="47" t="s">
        <v>66</v>
      </c>
      <c r="C32" s="47">
        <v>4</v>
      </c>
      <c r="D32" s="2"/>
      <c r="E32" s="51" t="s">
        <v>73</v>
      </c>
      <c r="F32" s="51">
        <v>5</v>
      </c>
      <c r="G32" s="2"/>
      <c r="H32" s="51" t="s">
        <v>73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67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59</v>
      </c>
      <c r="L33" s="45">
        <v>3</v>
      </c>
      <c r="M33" s="2"/>
      <c r="N33" s="2"/>
      <c r="O33" s="2"/>
    </row>
    <row r="34" spans="1:18" x14ac:dyDescent="0.25">
      <c r="A34" s="2"/>
      <c r="B34" s="47" t="s">
        <v>68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61</v>
      </c>
      <c r="L34" s="45">
        <v>4</v>
      </c>
      <c r="M34" s="2"/>
      <c r="N34" s="2"/>
      <c r="O34" s="2"/>
    </row>
    <row r="35" spans="1:18" x14ac:dyDescent="0.25">
      <c r="A35" s="2"/>
      <c r="B35" s="47" t="s">
        <v>69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72</v>
      </c>
      <c r="L35" s="45">
        <v>5</v>
      </c>
      <c r="M35" s="2"/>
      <c r="N35" s="2"/>
      <c r="O35" s="2"/>
    </row>
    <row r="36" spans="1:18" x14ac:dyDescent="0.25">
      <c r="A36" s="2"/>
      <c r="B36" s="47" t="s">
        <v>79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80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79" t="s">
        <v>81</v>
      </c>
      <c r="C39" s="179"/>
      <c r="D39" s="179"/>
      <c r="E39" s="179"/>
      <c r="F39" s="179"/>
      <c r="G39" s="179"/>
      <c r="H39" s="179"/>
      <c r="I39" s="179"/>
      <c r="J39" s="179"/>
      <c r="K39" s="179"/>
      <c r="L39" s="179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59</v>
      </c>
      <c r="C41" s="51">
        <f>C53</f>
        <v>1</v>
      </c>
      <c r="D41" s="2"/>
      <c r="E41" s="51" t="s">
        <v>59</v>
      </c>
      <c r="F41" s="51">
        <f>F53</f>
        <v>4</v>
      </c>
      <c r="G41" s="2"/>
      <c r="H41" s="48" t="s">
        <v>59</v>
      </c>
      <c r="I41" s="45">
        <f>I53</f>
        <v>1</v>
      </c>
      <c r="J41" s="2"/>
      <c r="K41" s="48" t="s">
        <v>59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61</v>
      </c>
      <c r="C42" s="51">
        <f t="shared" ref="C42:C46" si="0">C54</f>
        <v>3</v>
      </c>
      <c r="D42" s="2"/>
      <c r="E42" s="51" t="s">
        <v>61</v>
      </c>
      <c r="F42" s="51">
        <f t="shared" ref="F42:F44" si="1">F54</f>
        <v>2</v>
      </c>
      <c r="G42" s="2"/>
      <c r="H42" s="49" t="s">
        <v>61</v>
      </c>
      <c r="I42" s="45">
        <f t="shared" ref="I42:I44" si="2">I54</f>
        <v>3</v>
      </c>
      <c r="J42" s="2"/>
      <c r="K42" s="49" t="s">
        <v>61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63</v>
      </c>
      <c r="C43" s="51">
        <f t="shared" si="0"/>
        <v>2</v>
      </c>
      <c r="D43" s="2"/>
      <c r="E43" s="51" t="s">
        <v>63</v>
      </c>
      <c r="F43" s="51">
        <f t="shared" si="1"/>
        <v>3</v>
      </c>
      <c r="G43" s="2"/>
      <c r="H43" s="49" t="s">
        <v>72</v>
      </c>
      <c r="I43" s="45">
        <f t="shared" si="2"/>
        <v>2</v>
      </c>
      <c r="J43" s="2"/>
      <c r="K43" s="49" t="s">
        <v>72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65</v>
      </c>
      <c r="C44" s="51">
        <f t="shared" si="0"/>
        <v>4</v>
      </c>
      <c r="D44" s="2"/>
      <c r="E44" s="51" t="s">
        <v>65</v>
      </c>
      <c r="F44" s="51">
        <f t="shared" si="1"/>
        <v>1</v>
      </c>
      <c r="G44" s="2"/>
      <c r="H44" s="49" t="s">
        <v>65</v>
      </c>
      <c r="I44" s="45">
        <f t="shared" si="2"/>
        <v>5</v>
      </c>
      <c r="J44" s="2"/>
      <c r="K44" s="49" t="s">
        <v>65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73</v>
      </c>
      <c r="C45" s="51">
        <f t="shared" si="0"/>
        <v>5</v>
      </c>
      <c r="D45" s="2"/>
      <c r="E45" s="51" t="s">
        <v>73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71</v>
      </c>
      <c r="C46" s="51">
        <f t="shared" si="0"/>
        <v>6</v>
      </c>
      <c r="D46" s="2"/>
      <c r="E46" s="2"/>
      <c r="F46" s="2"/>
      <c r="G46" s="2"/>
      <c r="H46" s="48" t="s">
        <v>59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61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63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79" t="s">
        <v>82</v>
      </c>
      <c r="C51" s="179"/>
      <c r="D51" s="179"/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79"/>
      <c r="P51" s="179"/>
      <c r="Q51" s="179"/>
      <c r="R51" s="179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59</v>
      </c>
      <c r="C53" s="51">
        <v>1</v>
      </c>
      <c r="D53" s="2"/>
      <c r="E53" s="51" t="s">
        <v>59</v>
      </c>
      <c r="F53" s="51">
        <v>4</v>
      </c>
      <c r="G53" s="2"/>
      <c r="H53" s="48" t="s">
        <v>59</v>
      </c>
      <c r="I53" s="45">
        <v>1</v>
      </c>
      <c r="J53" s="2"/>
      <c r="K53" s="48" t="s">
        <v>59</v>
      </c>
      <c r="L53" s="45">
        <v>2</v>
      </c>
      <c r="M53" s="2"/>
      <c r="N53" s="56" t="s">
        <v>59</v>
      </c>
      <c r="O53" s="46">
        <v>1</v>
      </c>
      <c r="P53" s="2"/>
      <c r="Q53" s="56" t="s">
        <v>59</v>
      </c>
      <c r="R53" s="46">
        <v>2</v>
      </c>
    </row>
    <row r="54" spans="1:21" x14ac:dyDescent="0.25">
      <c r="A54" s="2"/>
      <c r="B54" s="51" t="s">
        <v>60</v>
      </c>
      <c r="C54" s="51">
        <v>3</v>
      </c>
      <c r="D54" s="2"/>
      <c r="E54" s="51" t="s">
        <v>60</v>
      </c>
      <c r="F54" s="51">
        <v>2</v>
      </c>
      <c r="G54" s="2"/>
      <c r="H54" s="49" t="s">
        <v>61</v>
      </c>
      <c r="I54" s="45">
        <v>3</v>
      </c>
      <c r="J54" s="2"/>
      <c r="K54" s="49" t="s">
        <v>61</v>
      </c>
      <c r="L54" s="45">
        <v>4</v>
      </c>
      <c r="M54" s="2"/>
      <c r="N54" s="57" t="s">
        <v>61</v>
      </c>
      <c r="O54" s="46">
        <v>3</v>
      </c>
      <c r="P54" s="2"/>
      <c r="Q54" s="57" t="s">
        <v>61</v>
      </c>
      <c r="R54" s="46">
        <v>4</v>
      </c>
    </row>
    <row r="55" spans="1:21" x14ac:dyDescent="0.25">
      <c r="A55" s="2"/>
      <c r="B55" s="51" t="s">
        <v>62</v>
      </c>
      <c r="C55" s="51">
        <v>2</v>
      </c>
      <c r="D55" s="2"/>
      <c r="E55" s="51" t="s">
        <v>62</v>
      </c>
      <c r="F55" s="51">
        <v>3</v>
      </c>
      <c r="G55" s="2"/>
      <c r="H55" s="49" t="s">
        <v>72</v>
      </c>
      <c r="I55" s="45">
        <v>2</v>
      </c>
      <c r="J55" s="2"/>
      <c r="K55" s="49" t="s">
        <v>72</v>
      </c>
      <c r="L55" s="45">
        <v>5</v>
      </c>
      <c r="M55" s="2"/>
      <c r="N55" s="57" t="s">
        <v>63</v>
      </c>
      <c r="O55" s="46">
        <v>5</v>
      </c>
      <c r="P55" s="2"/>
      <c r="Q55" s="57" t="s">
        <v>63</v>
      </c>
      <c r="R55" s="46">
        <v>6</v>
      </c>
    </row>
    <row r="56" spans="1:21" x14ac:dyDescent="0.25">
      <c r="A56" s="2"/>
      <c r="B56" s="51" t="s">
        <v>64</v>
      </c>
      <c r="C56" s="51">
        <v>4</v>
      </c>
      <c r="D56" s="2"/>
      <c r="E56" s="51" t="s">
        <v>64</v>
      </c>
      <c r="F56" s="51">
        <v>1</v>
      </c>
      <c r="G56" s="2"/>
      <c r="H56" s="49" t="s">
        <v>65</v>
      </c>
      <c r="I56" s="45">
        <v>5</v>
      </c>
      <c r="J56" s="2"/>
      <c r="K56" s="49" t="s">
        <v>65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66</v>
      </c>
      <c r="C57" s="51">
        <v>5</v>
      </c>
      <c r="D57" s="2"/>
      <c r="E57" s="51" t="s">
        <v>66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59</v>
      </c>
      <c r="O57" s="46">
        <v>4</v>
      </c>
      <c r="P57" s="2"/>
      <c r="Q57" s="56" t="s">
        <v>59</v>
      </c>
      <c r="R57" s="46">
        <v>3</v>
      </c>
    </row>
    <row r="58" spans="1:21" x14ac:dyDescent="0.25">
      <c r="A58" s="2"/>
      <c r="B58" s="51" t="s">
        <v>67</v>
      </c>
      <c r="C58" s="51">
        <v>6</v>
      </c>
      <c r="D58" s="2"/>
      <c r="E58" s="51" t="s">
        <v>67</v>
      </c>
      <c r="F58" s="51">
        <v>5</v>
      </c>
      <c r="G58" s="2"/>
      <c r="H58" s="48" t="s">
        <v>59</v>
      </c>
      <c r="I58" s="45">
        <v>3</v>
      </c>
      <c r="J58" s="2"/>
      <c r="K58" s="2"/>
      <c r="L58" s="2"/>
      <c r="M58" s="2"/>
      <c r="N58" s="57" t="s">
        <v>61</v>
      </c>
      <c r="O58" s="46">
        <v>2</v>
      </c>
      <c r="P58" s="2"/>
      <c r="Q58" s="57" t="s">
        <v>61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61</v>
      </c>
      <c r="I59" s="45">
        <v>4</v>
      </c>
      <c r="J59" s="2"/>
      <c r="K59" s="2"/>
      <c r="L59" s="2"/>
      <c r="M59" s="2"/>
      <c r="N59" s="57" t="s">
        <v>63</v>
      </c>
      <c r="O59" s="46">
        <v>6</v>
      </c>
      <c r="P59" s="2"/>
      <c r="Q59" s="57" t="s">
        <v>63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72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65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79" t="s">
        <v>83</v>
      </c>
      <c r="C63" s="179"/>
      <c r="D63" s="179"/>
      <c r="E63" s="179"/>
      <c r="F63" s="179"/>
      <c r="G63" s="179"/>
      <c r="H63" s="179"/>
      <c r="I63" s="179"/>
      <c r="J63" s="179"/>
      <c r="K63" s="179"/>
      <c r="L63" s="179"/>
      <c r="M63" s="179"/>
      <c r="N63" s="179"/>
      <c r="O63" s="179"/>
      <c r="P63" s="179"/>
      <c r="Q63" s="179"/>
      <c r="R63" s="179"/>
      <c r="S63" s="179"/>
      <c r="T63" s="179"/>
      <c r="U63" s="179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59</v>
      </c>
      <c r="C65" s="51">
        <v>1</v>
      </c>
      <c r="D65" s="2"/>
      <c r="E65" s="51" t="s">
        <v>59</v>
      </c>
      <c r="F65" s="51">
        <v>4</v>
      </c>
      <c r="G65" s="2"/>
      <c r="H65" s="45" t="s">
        <v>59</v>
      </c>
      <c r="I65" s="45">
        <v>1</v>
      </c>
      <c r="J65" s="2"/>
      <c r="K65" s="45" t="s">
        <v>59</v>
      </c>
      <c r="L65" s="45">
        <v>2</v>
      </c>
      <c r="M65" s="2"/>
      <c r="N65" s="45" t="s">
        <v>59</v>
      </c>
      <c r="O65" s="45">
        <v>3</v>
      </c>
      <c r="P65" s="2"/>
      <c r="Q65" s="56" t="s">
        <v>59</v>
      </c>
      <c r="R65" s="46">
        <v>1</v>
      </c>
      <c r="S65" s="2"/>
      <c r="T65" s="56" t="s">
        <v>59</v>
      </c>
      <c r="U65" s="46">
        <v>2</v>
      </c>
    </row>
    <row r="66" spans="1:21" x14ac:dyDescent="0.25">
      <c r="A66" s="2"/>
      <c r="B66" s="51" t="s">
        <v>60</v>
      </c>
      <c r="C66" s="51">
        <v>3</v>
      </c>
      <c r="D66" s="2"/>
      <c r="E66" s="51" t="s">
        <v>60</v>
      </c>
      <c r="F66" s="51">
        <v>2</v>
      </c>
      <c r="G66" s="2"/>
      <c r="H66" s="45" t="s">
        <v>60</v>
      </c>
      <c r="I66" s="45">
        <v>3</v>
      </c>
      <c r="J66" s="2"/>
      <c r="K66" s="45" t="s">
        <v>60</v>
      </c>
      <c r="L66" s="45">
        <v>4</v>
      </c>
      <c r="M66" s="2"/>
      <c r="N66" s="45" t="s">
        <v>60</v>
      </c>
      <c r="O66" s="45">
        <v>4</v>
      </c>
      <c r="P66" s="2"/>
      <c r="Q66" s="57" t="s">
        <v>61</v>
      </c>
      <c r="R66" s="46">
        <v>4</v>
      </c>
      <c r="S66" s="2"/>
      <c r="T66" s="57" t="s">
        <v>61</v>
      </c>
      <c r="U66" s="46">
        <v>1</v>
      </c>
    </row>
    <row r="67" spans="1:21" x14ac:dyDescent="0.25">
      <c r="A67" s="2"/>
      <c r="B67" s="51" t="s">
        <v>62</v>
      </c>
      <c r="C67" s="51">
        <v>2</v>
      </c>
      <c r="D67" s="2"/>
      <c r="E67" s="51" t="s">
        <v>62</v>
      </c>
      <c r="F67" s="51">
        <v>3</v>
      </c>
      <c r="G67" s="2"/>
      <c r="H67" s="45" t="s">
        <v>84</v>
      </c>
      <c r="I67" s="45">
        <v>2</v>
      </c>
      <c r="J67" s="2"/>
      <c r="K67" s="45" t="s">
        <v>85</v>
      </c>
      <c r="L67" s="45">
        <v>1</v>
      </c>
      <c r="M67" s="2"/>
      <c r="N67" s="45" t="s">
        <v>62</v>
      </c>
      <c r="O67" s="45">
        <v>5</v>
      </c>
      <c r="P67" s="2"/>
      <c r="Q67" s="57" t="s">
        <v>63</v>
      </c>
      <c r="R67" s="46">
        <v>5</v>
      </c>
      <c r="S67" s="2"/>
      <c r="T67" s="57" t="s">
        <v>63</v>
      </c>
      <c r="U67" s="46">
        <v>6</v>
      </c>
    </row>
    <row r="68" spans="1:21" x14ac:dyDescent="0.25">
      <c r="A68" s="2"/>
      <c r="B68" s="51" t="s">
        <v>64</v>
      </c>
      <c r="C68" s="51">
        <v>4</v>
      </c>
      <c r="D68" s="2"/>
      <c r="E68" s="51" t="s">
        <v>64</v>
      </c>
      <c r="F68" s="51">
        <v>1</v>
      </c>
      <c r="G68" s="2"/>
      <c r="H68" s="45" t="s">
        <v>64</v>
      </c>
      <c r="I68" s="45">
        <v>6</v>
      </c>
      <c r="J68" s="2"/>
      <c r="K68" s="45" t="s">
        <v>64</v>
      </c>
      <c r="L68" s="45">
        <v>7</v>
      </c>
      <c r="M68" s="2"/>
      <c r="N68" s="45" t="s">
        <v>64</v>
      </c>
      <c r="O68" s="45">
        <v>6</v>
      </c>
      <c r="P68" s="2"/>
      <c r="Q68" s="57" t="s">
        <v>65</v>
      </c>
      <c r="R68" s="46">
        <v>7</v>
      </c>
      <c r="S68" s="2"/>
      <c r="T68" s="2"/>
      <c r="U68" s="2"/>
    </row>
    <row r="69" spans="1:21" x14ac:dyDescent="0.25">
      <c r="A69" s="2"/>
      <c r="B69" s="51" t="s">
        <v>66</v>
      </c>
      <c r="C69" s="51">
        <v>6</v>
      </c>
      <c r="D69" s="2"/>
      <c r="E69" s="51" t="s">
        <v>66</v>
      </c>
      <c r="F69" s="51">
        <v>5</v>
      </c>
      <c r="G69" s="2"/>
      <c r="H69" s="45" t="s">
        <v>66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67</v>
      </c>
      <c r="C70" s="51">
        <v>7</v>
      </c>
      <c r="D70" s="2"/>
      <c r="E70" s="51" t="s">
        <v>67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68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59</v>
      </c>
      <c r="R71" s="46">
        <v>3</v>
      </c>
      <c r="S71" s="2"/>
      <c r="T71" s="56" t="s">
        <v>59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61</v>
      </c>
      <c r="R72" s="46">
        <v>2</v>
      </c>
      <c r="S72" s="2"/>
      <c r="T72" s="57" t="s">
        <v>61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63</v>
      </c>
      <c r="R73" s="46">
        <v>6</v>
      </c>
      <c r="S73" s="2"/>
      <c r="T73" s="57" t="s">
        <v>63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79" t="s">
        <v>86</v>
      </c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59</v>
      </c>
      <c r="C78" s="51">
        <v>1</v>
      </c>
      <c r="D78" s="2"/>
      <c r="E78" s="51" t="s">
        <v>59</v>
      </c>
      <c r="F78" s="51">
        <v>4</v>
      </c>
      <c r="G78" s="2"/>
      <c r="H78" s="45" t="s">
        <v>59</v>
      </c>
      <c r="I78" s="45">
        <v>1</v>
      </c>
      <c r="J78" s="2"/>
      <c r="K78" s="45" t="s">
        <v>59</v>
      </c>
      <c r="L78" s="45">
        <v>2</v>
      </c>
      <c r="M78" s="2"/>
      <c r="N78" s="45" t="s">
        <v>59</v>
      </c>
      <c r="O78" s="45">
        <v>3</v>
      </c>
      <c r="P78" s="2"/>
      <c r="Q78" s="56" t="s">
        <v>59</v>
      </c>
      <c r="R78" s="46">
        <v>1</v>
      </c>
      <c r="S78" s="2"/>
      <c r="T78" s="56" t="s">
        <v>59</v>
      </c>
      <c r="U78" s="46">
        <v>2</v>
      </c>
    </row>
    <row r="79" spans="1:21" x14ac:dyDescent="0.25">
      <c r="A79" s="2"/>
      <c r="B79" s="51" t="s">
        <v>60</v>
      </c>
      <c r="C79" s="51">
        <v>3</v>
      </c>
      <c r="D79" s="2"/>
      <c r="E79" s="51" t="s">
        <v>60</v>
      </c>
      <c r="F79" s="51">
        <v>2</v>
      </c>
      <c r="G79" s="2"/>
      <c r="H79" s="45" t="s">
        <v>60</v>
      </c>
      <c r="I79" s="45">
        <v>3</v>
      </c>
      <c r="J79" s="2"/>
      <c r="K79" s="45" t="s">
        <v>60</v>
      </c>
      <c r="L79" s="45">
        <v>4</v>
      </c>
      <c r="M79" s="2"/>
      <c r="N79" s="45" t="s">
        <v>60</v>
      </c>
      <c r="O79" s="45">
        <v>4</v>
      </c>
      <c r="P79" s="2"/>
      <c r="Q79" s="57" t="s">
        <v>61</v>
      </c>
      <c r="R79" s="46">
        <v>4</v>
      </c>
      <c r="S79" s="2"/>
      <c r="T79" s="57" t="s">
        <v>61</v>
      </c>
      <c r="U79" s="46">
        <v>1</v>
      </c>
    </row>
    <row r="80" spans="1:21" x14ac:dyDescent="0.25">
      <c r="A80" s="2"/>
      <c r="B80" s="51" t="s">
        <v>62</v>
      </c>
      <c r="C80" s="51">
        <v>2</v>
      </c>
      <c r="D80" s="2"/>
      <c r="E80" s="51" t="s">
        <v>62</v>
      </c>
      <c r="F80" s="51">
        <v>3</v>
      </c>
      <c r="G80" s="2"/>
      <c r="H80" s="45" t="s">
        <v>84</v>
      </c>
      <c r="I80" s="45">
        <v>2</v>
      </c>
      <c r="J80" s="2"/>
      <c r="K80" s="45" t="s">
        <v>85</v>
      </c>
      <c r="L80" s="45">
        <v>1</v>
      </c>
      <c r="M80" s="2"/>
      <c r="N80" s="45" t="s">
        <v>62</v>
      </c>
      <c r="O80" s="45">
        <v>5</v>
      </c>
      <c r="P80" s="2"/>
      <c r="Q80" s="57" t="s">
        <v>63</v>
      </c>
      <c r="R80" s="46">
        <v>5</v>
      </c>
      <c r="S80" s="2"/>
      <c r="T80" s="57" t="s">
        <v>63</v>
      </c>
      <c r="U80" s="46">
        <v>6</v>
      </c>
    </row>
    <row r="81" spans="1:21" x14ac:dyDescent="0.25">
      <c r="A81" s="2"/>
      <c r="B81" s="51" t="s">
        <v>64</v>
      </c>
      <c r="C81" s="51">
        <v>4</v>
      </c>
      <c r="D81" s="2"/>
      <c r="E81" s="51" t="s">
        <v>64</v>
      </c>
      <c r="F81" s="51">
        <v>1</v>
      </c>
      <c r="G81" s="2"/>
      <c r="H81" s="45" t="s">
        <v>64</v>
      </c>
      <c r="I81" s="45">
        <v>6</v>
      </c>
      <c r="J81" s="2"/>
      <c r="K81" s="45" t="s">
        <v>64</v>
      </c>
      <c r="L81" s="45">
        <v>7</v>
      </c>
      <c r="M81" s="2"/>
      <c r="N81" s="45" t="s">
        <v>64</v>
      </c>
      <c r="O81" s="45">
        <v>6</v>
      </c>
      <c r="P81" s="2"/>
      <c r="Q81" s="57" t="s">
        <v>65</v>
      </c>
      <c r="R81" s="46">
        <v>7</v>
      </c>
      <c r="S81" s="2"/>
      <c r="T81" s="57" t="s">
        <v>65</v>
      </c>
      <c r="U81" s="46">
        <v>5</v>
      </c>
    </row>
    <row r="82" spans="1:21" x14ac:dyDescent="0.25">
      <c r="A82" s="2"/>
      <c r="B82" s="51" t="s">
        <v>66</v>
      </c>
      <c r="C82" s="51">
        <v>5</v>
      </c>
      <c r="D82" s="2"/>
      <c r="E82" s="51" t="s">
        <v>66</v>
      </c>
      <c r="F82" s="51">
        <v>6</v>
      </c>
      <c r="G82" s="2"/>
      <c r="H82" s="45" t="s">
        <v>66</v>
      </c>
      <c r="I82" s="45">
        <v>7</v>
      </c>
      <c r="J82" s="2"/>
      <c r="K82" s="45" t="s">
        <v>66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67</v>
      </c>
      <c r="C83" s="51">
        <v>7</v>
      </c>
      <c r="D83" s="2"/>
      <c r="E83" s="51" t="s">
        <v>67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68</v>
      </c>
      <c r="C84" s="51">
        <v>6</v>
      </c>
      <c r="D84" s="2"/>
      <c r="E84" s="51" t="s">
        <v>68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59</v>
      </c>
      <c r="R84" s="46">
        <v>3</v>
      </c>
      <c r="S84" s="2"/>
      <c r="T84" s="56" t="s">
        <v>59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61</v>
      </c>
      <c r="R85" s="46">
        <v>2</v>
      </c>
      <c r="S85" s="2"/>
      <c r="T85" s="57" t="s">
        <v>61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63</v>
      </c>
      <c r="R86" s="46">
        <v>7</v>
      </c>
      <c r="S86" s="2"/>
      <c r="T86" s="57" t="s">
        <v>63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79" t="s">
        <v>87</v>
      </c>
      <c r="C88" s="179"/>
      <c r="D88" s="179"/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179"/>
      <c r="R88" s="179"/>
    </row>
    <row r="89" spans="1:21" x14ac:dyDescent="0.25">
      <c r="A89" s="2"/>
      <c r="B89" s="180"/>
      <c r="C89" s="180"/>
      <c r="D89" s="180"/>
      <c r="E89" s="180"/>
      <c r="F89" s="180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59</v>
      </c>
      <c r="C90" s="51">
        <v>1</v>
      </c>
      <c r="D90" s="2"/>
      <c r="E90" s="51" t="s">
        <v>59</v>
      </c>
      <c r="F90" s="51">
        <v>4</v>
      </c>
      <c r="G90" s="2"/>
      <c r="H90" s="45" t="s">
        <v>59</v>
      </c>
      <c r="I90" s="45">
        <v>1</v>
      </c>
      <c r="J90" s="2"/>
      <c r="K90" s="45" t="s">
        <v>59</v>
      </c>
      <c r="L90" s="45">
        <v>2</v>
      </c>
      <c r="M90" s="2"/>
      <c r="N90" s="46" t="s">
        <v>59</v>
      </c>
      <c r="O90" s="46">
        <v>1</v>
      </c>
      <c r="P90" s="2"/>
      <c r="Q90" s="46" t="s">
        <v>59</v>
      </c>
      <c r="R90" s="46">
        <v>2</v>
      </c>
    </row>
    <row r="91" spans="1:21" x14ac:dyDescent="0.25">
      <c r="A91" s="2"/>
      <c r="B91" s="51" t="s">
        <v>60</v>
      </c>
      <c r="C91" s="51">
        <v>3</v>
      </c>
      <c r="D91" s="2"/>
      <c r="E91" s="51" t="s">
        <v>60</v>
      </c>
      <c r="F91" s="51">
        <v>2</v>
      </c>
      <c r="G91" s="2"/>
      <c r="H91" s="45" t="s">
        <v>60</v>
      </c>
      <c r="I91" s="45">
        <v>3</v>
      </c>
      <c r="J91" s="2"/>
      <c r="K91" s="45" t="s">
        <v>60</v>
      </c>
      <c r="L91" s="45">
        <v>4</v>
      </c>
      <c r="M91" s="2"/>
      <c r="N91" s="46" t="s">
        <v>60</v>
      </c>
      <c r="O91" s="46">
        <v>4</v>
      </c>
      <c r="P91" s="2"/>
      <c r="Q91" s="46" t="s">
        <v>60</v>
      </c>
      <c r="R91" s="46">
        <v>1</v>
      </c>
    </row>
    <row r="92" spans="1:21" x14ac:dyDescent="0.25">
      <c r="A92" s="2"/>
      <c r="B92" s="51" t="s">
        <v>62</v>
      </c>
      <c r="C92" s="51">
        <v>2</v>
      </c>
      <c r="D92" s="2"/>
      <c r="E92" s="51" t="s">
        <v>62</v>
      </c>
      <c r="F92" s="51">
        <v>3</v>
      </c>
      <c r="G92" s="2"/>
      <c r="H92" s="45" t="s">
        <v>88</v>
      </c>
      <c r="I92" s="45">
        <v>5</v>
      </c>
      <c r="J92" s="2"/>
      <c r="K92" s="45" t="s">
        <v>88</v>
      </c>
      <c r="L92" s="45">
        <v>1</v>
      </c>
      <c r="M92" s="2"/>
      <c r="N92" s="46" t="s">
        <v>62</v>
      </c>
      <c r="O92" s="46">
        <v>5</v>
      </c>
      <c r="P92" s="2"/>
      <c r="Q92" s="46" t="s">
        <v>62</v>
      </c>
      <c r="R92" s="46">
        <v>6</v>
      </c>
    </row>
    <row r="93" spans="1:21" x14ac:dyDescent="0.25">
      <c r="A93" s="2"/>
      <c r="B93" s="51" t="s">
        <v>64</v>
      </c>
      <c r="C93" s="51">
        <v>4</v>
      </c>
      <c r="D93" s="2"/>
      <c r="E93" s="51" t="s">
        <v>64</v>
      </c>
      <c r="F93" s="51">
        <v>1</v>
      </c>
      <c r="G93" s="2"/>
      <c r="H93" s="45" t="s">
        <v>64</v>
      </c>
      <c r="I93" s="45">
        <v>6</v>
      </c>
      <c r="J93" s="2"/>
      <c r="K93" s="45" t="s">
        <v>64</v>
      </c>
      <c r="L93" s="45">
        <v>7</v>
      </c>
      <c r="M93" s="2"/>
      <c r="N93" s="46" t="s">
        <v>89</v>
      </c>
      <c r="O93" s="46">
        <v>8</v>
      </c>
      <c r="P93" s="2"/>
      <c r="Q93" s="46" t="s">
        <v>64</v>
      </c>
      <c r="R93" s="46">
        <v>5</v>
      </c>
    </row>
    <row r="94" spans="1:21" x14ac:dyDescent="0.25">
      <c r="A94" s="2"/>
      <c r="B94" s="51" t="s">
        <v>66</v>
      </c>
      <c r="C94" s="51">
        <v>5</v>
      </c>
      <c r="D94" s="2"/>
      <c r="E94" s="51" t="s">
        <v>66</v>
      </c>
      <c r="F94" s="51">
        <v>8</v>
      </c>
      <c r="G94" s="2"/>
      <c r="H94" s="45" t="s">
        <v>90</v>
      </c>
      <c r="I94" s="45">
        <v>8</v>
      </c>
      <c r="J94" s="2"/>
      <c r="K94" s="45" t="s">
        <v>91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67</v>
      </c>
      <c r="C95" s="51">
        <v>7</v>
      </c>
      <c r="D95" s="2"/>
      <c r="E95" s="51" t="s">
        <v>67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68</v>
      </c>
      <c r="C96" s="51">
        <v>6</v>
      </c>
      <c r="D96" s="2"/>
      <c r="E96" s="51" t="s">
        <v>68</v>
      </c>
      <c r="F96" s="51">
        <v>7</v>
      </c>
      <c r="G96" s="2"/>
      <c r="H96" s="45" t="s">
        <v>59</v>
      </c>
      <c r="I96" s="45">
        <v>3</v>
      </c>
      <c r="J96" s="2"/>
      <c r="K96" s="2"/>
      <c r="L96" s="2"/>
      <c r="M96" s="2"/>
      <c r="N96" s="46" t="s">
        <v>59</v>
      </c>
      <c r="O96" s="46">
        <v>4</v>
      </c>
      <c r="P96" s="2"/>
      <c r="Q96" s="46" t="s">
        <v>59</v>
      </c>
      <c r="R96" s="46">
        <v>3</v>
      </c>
    </row>
    <row r="97" spans="1:18" x14ac:dyDescent="0.25">
      <c r="A97" s="2"/>
      <c r="B97" s="51" t="s">
        <v>69</v>
      </c>
      <c r="C97" s="51">
        <v>8</v>
      </c>
      <c r="D97" s="2"/>
      <c r="E97" s="2"/>
      <c r="F97" s="2"/>
      <c r="G97" s="2"/>
      <c r="H97" s="45" t="s">
        <v>60</v>
      </c>
      <c r="I97" s="45">
        <v>4</v>
      </c>
      <c r="J97" s="2"/>
      <c r="K97" s="2"/>
      <c r="L97" s="2"/>
      <c r="M97" s="2"/>
      <c r="N97" s="46" t="s">
        <v>60</v>
      </c>
      <c r="O97" s="46">
        <v>3</v>
      </c>
      <c r="P97" s="2"/>
      <c r="Q97" s="46" t="s">
        <v>60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88</v>
      </c>
      <c r="I98" s="45">
        <v>2</v>
      </c>
      <c r="J98" s="2"/>
      <c r="K98" s="2"/>
      <c r="L98" s="2"/>
      <c r="M98" s="2"/>
      <c r="N98" s="46" t="s">
        <v>62</v>
      </c>
      <c r="O98" s="46">
        <v>6</v>
      </c>
      <c r="P98" s="2"/>
      <c r="Q98" s="46" t="s">
        <v>62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64</v>
      </c>
      <c r="I99" s="45">
        <v>7</v>
      </c>
      <c r="J99" s="2"/>
      <c r="K99" s="2"/>
      <c r="L99" s="2"/>
      <c r="M99" s="2"/>
      <c r="N99" s="46" t="s">
        <v>64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91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79" t="s">
        <v>92</v>
      </c>
      <c r="C103" s="179"/>
      <c r="D103" s="179"/>
      <c r="E103" s="179"/>
      <c r="F103" s="179"/>
      <c r="G103" s="179"/>
      <c r="H103" s="179"/>
      <c r="I103" s="179"/>
      <c r="J103" s="179"/>
      <c r="K103" s="179"/>
      <c r="L103" s="179"/>
      <c r="M103" s="179"/>
      <c r="N103" s="179"/>
      <c r="O103" s="179"/>
      <c r="P103" s="179"/>
      <c r="Q103" s="179"/>
      <c r="R103" s="179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59</v>
      </c>
      <c r="C105" s="51">
        <v>1</v>
      </c>
      <c r="D105" s="2"/>
      <c r="E105" s="51" t="s">
        <v>59</v>
      </c>
      <c r="F105" s="51">
        <v>4</v>
      </c>
      <c r="G105" s="2"/>
      <c r="H105" s="45" t="s">
        <v>59</v>
      </c>
      <c r="I105" s="45">
        <v>1</v>
      </c>
      <c r="J105" s="2"/>
      <c r="K105" s="45" t="s">
        <v>59</v>
      </c>
      <c r="L105" s="45">
        <v>4</v>
      </c>
      <c r="M105" s="2"/>
      <c r="N105" s="46" t="s">
        <v>59</v>
      </c>
      <c r="O105" s="46">
        <v>1</v>
      </c>
      <c r="P105" s="2"/>
      <c r="Q105" s="46" t="s">
        <v>59</v>
      </c>
      <c r="R105" s="46">
        <v>2</v>
      </c>
    </row>
    <row r="106" spans="1:18" x14ac:dyDescent="0.25">
      <c r="A106" s="2"/>
      <c r="B106" s="51" t="s">
        <v>60</v>
      </c>
      <c r="C106" s="51">
        <v>3</v>
      </c>
      <c r="D106" s="2"/>
      <c r="E106" s="51" t="s">
        <v>60</v>
      </c>
      <c r="F106" s="51">
        <v>2</v>
      </c>
      <c r="G106" s="2"/>
      <c r="H106" s="45" t="s">
        <v>60</v>
      </c>
      <c r="I106" s="45">
        <v>3</v>
      </c>
      <c r="J106" s="2"/>
      <c r="K106" s="45" t="s">
        <v>60</v>
      </c>
      <c r="L106" s="45">
        <v>2</v>
      </c>
      <c r="M106" s="2"/>
      <c r="N106" s="46" t="s">
        <v>60</v>
      </c>
      <c r="O106" s="46">
        <v>4</v>
      </c>
      <c r="P106" s="2"/>
      <c r="Q106" s="46" t="s">
        <v>60</v>
      </c>
      <c r="R106" s="46">
        <v>1</v>
      </c>
    </row>
    <row r="107" spans="1:18" x14ac:dyDescent="0.25">
      <c r="A107" s="2"/>
      <c r="B107" s="51" t="s">
        <v>62</v>
      </c>
      <c r="C107" s="51">
        <v>2</v>
      </c>
      <c r="D107" s="2"/>
      <c r="E107" s="51" t="s">
        <v>62</v>
      </c>
      <c r="F107" s="51">
        <v>3</v>
      </c>
      <c r="G107" s="2"/>
      <c r="H107" s="45" t="s">
        <v>62</v>
      </c>
      <c r="I107" s="45">
        <v>2</v>
      </c>
      <c r="J107" s="2"/>
      <c r="K107" s="45" t="s">
        <v>62</v>
      </c>
      <c r="L107" s="45">
        <v>3</v>
      </c>
      <c r="M107" s="2"/>
      <c r="N107" s="46" t="s">
        <v>62</v>
      </c>
      <c r="O107" s="46">
        <v>5</v>
      </c>
      <c r="P107" s="2"/>
      <c r="Q107" s="46" t="s">
        <v>62</v>
      </c>
      <c r="R107" s="46">
        <v>6</v>
      </c>
    </row>
    <row r="108" spans="1:18" x14ac:dyDescent="0.25">
      <c r="A108" s="2"/>
      <c r="B108" s="51" t="s">
        <v>64</v>
      </c>
      <c r="C108" s="51">
        <v>4</v>
      </c>
      <c r="D108" s="2"/>
      <c r="E108" s="51" t="s">
        <v>64</v>
      </c>
      <c r="F108" s="51">
        <v>1</v>
      </c>
      <c r="G108" s="2"/>
      <c r="H108" s="45" t="s">
        <v>64</v>
      </c>
      <c r="I108" s="45">
        <v>4</v>
      </c>
      <c r="J108" s="2"/>
      <c r="K108" s="45" t="s">
        <v>64</v>
      </c>
      <c r="L108" s="45">
        <v>1</v>
      </c>
      <c r="M108" s="2"/>
      <c r="N108" s="46" t="s">
        <v>64</v>
      </c>
      <c r="O108" s="46">
        <v>8</v>
      </c>
      <c r="P108" s="2"/>
      <c r="Q108" s="46" t="s">
        <v>64</v>
      </c>
      <c r="R108" s="46">
        <v>5</v>
      </c>
    </row>
    <row r="109" spans="1:18" x14ac:dyDescent="0.25">
      <c r="A109" s="2"/>
      <c r="B109" s="51" t="s">
        <v>66</v>
      </c>
      <c r="C109" s="51">
        <v>5</v>
      </c>
      <c r="D109" s="2"/>
      <c r="E109" s="51" t="s">
        <v>66</v>
      </c>
      <c r="F109" s="51">
        <v>8</v>
      </c>
      <c r="G109" s="2"/>
      <c r="H109" s="45" t="s">
        <v>59</v>
      </c>
      <c r="I109" s="45">
        <v>1</v>
      </c>
      <c r="J109" s="2"/>
      <c r="K109" s="45" t="s">
        <v>66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67</v>
      </c>
      <c r="C110" s="51">
        <v>7</v>
      </c>
      <c r="D110" s="2"/>
      <c r="E110" s="51" t="s">
        <v>67</v>
      </c>
      <c r="F110" s="51">
        <v>6</v>
      </c>
      <c r="G110" s="2"/>
      <c r="H110" s="45" t="s">
        <v>60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68</v>
      </c>
      <c r="C111" s="51">
        <v>6</v>
      </c>
      <c r="D111" s="2"/>
      <c r="E111" s="51" t="s">
        <v>68</v>
      </c>
      <c r="F111" s="51">
        <v>7</v>
      </c>
      <c r="G111" s="2"/>
      <c r="H111" s="2"/>
      <c r="I111" s="2"/>
      <c r="J111" s="2"/>
      <c r="K111" s="45" t="s">
        <v>59</v>
      </c>
      <c r="L111" s="45">
        <v>4</v>
      </c>
      <c r="M111" s="2"/>
      <c r="N111" s="46" t="s">
        <v>59</v>
      </c>
      <c r="O111" s="46">
        <v>4</v>
      </c>
      <c r="P111" s="2"/>
      <c r="Q111" s="46" t="s">
        <v>59</v>
      </c>
      <c r="R111" s="46">
        <v>3</v>
      </c>
    </row>
    <row r="112" spans="1:18" x14ac:dyDescent="0.25">
      <c r="A112" s="2"/>
      <c r="B112" s="51" t="s">
        <v>69</v>
      </c>
      <c r="C112" s="51">
        <v>8</v>
      </c>
      <c r="D112" s="2"/>
      <c r="E112" s="51" t="s">
        <v>69</v>
      </c>
      <c r="F112" s="51">
        <v>5</v>
      </c>
      <c r="G112" s="2"/>
      <c r="H112" s="2"/>
      <c r="I112" s="2"/>
      <c r="J112" s="2"/>
      <c r="K112" s="45" t="s">
        <v>60</v>
      </c>
      <c r="L112" s="45">
        <v>2</v>
      </c>
      <c r="M112" s="2"/>
      <c r="N112" s="46" t="s">
        <v>60</v>
      </c>
      <c r="O112" s="46">
        <v>3</v>
      </c>
      <c r="P112" s="2"/>
      <c r="Q112" s="46" t="s">
        <v>60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62</v>
      </c>
      <c r="L113" s="45">
        <v>3</v>
      </c>
      <c r="M113" s="2"/>
      <c r="N113" s="46" t="s">
        <v>62</v>
      </c>
      <c r="O113" s="46">
        <v>8</v>
      </c>
      <c r="P113" s="2"/>
      <c r="Q113" s="46" t="s">
        <v>62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64</v>
      </c>
      <c r="L114" s="45">
        <v>1</v>
      </c>
      <c r="M114" s="2"/>
      <c r="N114" s="46" t="s">
        <v>64</v>
      </c>
      <c r="O114" s="46">
        <v>7</v>
      </c>
      <c r="P114" s="2"/>
      <c r="Q114" s="46" t="s">
        <v>64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66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76" t="s">
        <v>93</v>
      </c>
      <c r="C117" s="177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8"/>
    </row>
    <row r="119" spans="1:18" x14ac:dyDescent="0.25">
      <c r="B119" s="45" t="s">
        <v>59</v>
      </c>
      <c r="C119" s="45">
        <v>1</v>
      </c>
      <c r="D119" s="2"/>
      <c r="E119" s="45" t="s">
        <v>59</v>
      </c>
      <c r="F119" s="45">
        <v>2</v>
      </c>
      <c r="H119" s="45" t="s">
        <v>59</v>
      </c>
      <c r="I119" s="45">
        <v>3</v>
      </c>
      <c r="K119" s="46" t="s">
        <v>59</v>
      </c>
      <c r="L119" s="46">
        <v>1</v>
      </c>
      <c r="M119" s="2"/>
      <c r="N119" s="46" t="s">
        <v>59</v>
      </c>
      <c r="O119" s="46">
        <v>2</v>
      </c>
    </row>
    <row r="120" spans="1:18" x14ac:dyDescent="0.25">
      <c r="B120" s="45" t="s">
        <v>60</v>
      </c>
      <c r="C120" s="45">
        <v>3</v>
      </c>
      <c r="D120" s="2"/>
      <c r="E120" s="45" t="s">
        <v>60</v>
      </c>
      <c r="F120" s="45">
        <v>4</v>
      </c>
      <c r="H120" s="45" t="s">
        <v>60</v>
      </c>
      <c r="I120" s="45">
        <v>4</v>
      </c>
      <c r="K120" s="46" t="s">
        <v>60</v>
      </c>
      <c r="L120" s="46">
        <v>4</v>
      </c>
      <c r="M120" s="2"/>
      <c r="N120" s="46" t="s">
        <v>60</v>
      </c>
      <c r="O120" s="46">
        <v>1</v>
      </c>
    </row>
    <row r="121" spans="1:18" x14ac:dyDescent="0.25">
      <c r="B121" s="45" t="s">
        <v>94</v>
      </c>
      <c r="C121" s="45">
        <v>2</v>
      </c>
      <c r="D121" s="2"/>
      <c r="E121" s="45" t="s">
        <v>85</v>
      </c>
      <c r="F121" s="45">
        <v>1</v>
      </c>
      <c r="H121" s="45" t="s">
        <v>62</v>
      </c>
      <c r="I121" s="45">
        <v>5</v>
      </c>
      <c r="K121" s="46" t="s">
        <v>62</v>
      </c>
      <c r="L121" s="46">
        <v>5</v>
      </c>
      <c r="M121" s="2"/>
      <c r="N121" s="46" t="s">
        <v>62</v>
      </c>
      <c r="O121" s="46">
        <v>6</v>
      </c>
    </row>
    <row r="122" spans="1:18" x14ac:dyDescent="0.25">
      <c r="B122" s="45" t="s">
        <v>64</v>
      </c>
      <c r="C122" s="45">
        <v>6</v>
      </c>
      <c r="D122" s="2"/>
      <c r="E122" s="45" t="s">
        <v>64</v>
      </c>
      <c r="F122" s="45">
        <v>7</v>
      </c>
      <c r="H122" s="45" t="s">
        <v>64</v>
      </c>
      <c r="I122" s="45">
        <v>8</v>
      </c>
      <c r="K122" s="46" t="s">
        <v>64</v>
      </c>
      <c r="L122" s="46">
        <v>8</v>
      </c>
      <c r="M122" s="2"/>
      <c r="N122" s="46" t="s">
        <v>64</v>
      </c>
      <c r="O122" s="46">
        <v>5</v>
      </c>
    </row>
    <row r="123" spans="1:18" x14ac:dyDescent="0.25">
      <c r="B123" s="45" t="s">
        <v>66</v>
      </c>
      <c r="C123" s="45">
        <v>8</v>
      </c>
      <c r="D123" s="2"/>
      <c r="E123" s="45" t="s">
        <v>66</v>
      </c>
      <c r="F123" s="45">
        <v>6</v>
      </c>
      <c r="H123" s="45" t="s">
        <v>66</v>
      </c>
      <c r="I123" s="45">
        <v>7</v>
      </c>
      <c r="K123" s="46" t="s">
        <v>95</v>
      </c>
      <c r="L123" s="46">
        <v>9</v>
      </c>
      <c r="M123" s="2"/>
      <c r="N123" s="2"/>
      <c r="O123" s="2"/>
    </row>
    <row r="124" spans="1:18" x14ac:dyDescent="0.25">
      <c r="B124" s="45" t="s">
        <v>67</v>
      </c>
      <c r="C124" s="45">
        <v>5</v>
      </c>
      <c r="D124" s="2"/>
      <c r="E124" s="45" t="s">
        <v>96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59</v>
      </c>
      <c r="L126" s="46">
        <v>4</v>
      </c>
      <c r="N126" s="46" t="s">
        <v>59</v>
      </c>
      <c r="O126" s="46">
        <v>3</v>
      </c>
    </row>
    <row r="127" spans="1:18" x14ac:dyDescent="0.25">
      <c r="K127" s="46" t="s">
        <v>60</v>
      </c>
      <c r="L127" s="46">
        <v>3</v>
      </c>
      <c r="N127" s="46" t="s">
        <v>60</v>
      </c>
      <c r="O127" s="46">
        <v>2</v>
      </c>
    </row>
    <row r="128" spans="1:18" x14ac:dyDescent="0.25">
      <c r="K128" s="46" t="s">
        <v>62</v>
      </c>
      <c r="L128" s="46">
        <v>8</v>
      </c>
      <c r="N128" s="46" t="s">
        <v>62</v>
      </c>
      <c r="O128" s="46">
        <v>7</v>
      </c>
    </row>
    <row r="129" spans="2:16" x14ac:dyDescent="0.25">
      <c r="K129" s="46" t="s">
        <v>64</v>
      </c>
      <c r="L129" s="46">
        <v>7</v>
      </c>
      <c r="N129" s="46" t="s">
        <v>64</v>
      </c>
      <c r="O129" s="46">
        <v>6</v>
      </c>
    </row>
    <row r="132" spans="2:16" ht="26.25" x14ac:dyDescent="0.25">
      <c r="B132" s="176" t="s">
        <v>97</v>
      </c>
      <c r="C132" s="177"/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8"/>
    </row>
    <row r="134" spans="2:16" x14ac:dyDescent="0.25">
      <c r="B134" s="45" t="s">
        <v>59</v>
      </c>
      <c r="C134" s="45">
        <v>1</v>
      </c>
      <c r="D134" s="2"/>
      <c r="E134" s="45" t="s">
        <v>59</v>
      </c>
      <c r="F134" s="45">
        <v>2</v>
      </c>
      <c r="H134" s="45" t="s">
        <v>59</v>
      </c>
      <c r="I134" s="45">
        <v>3</v>
      </c>
      <c r="K134" s="46" t="s">
        <v>59</v>
      </c>
      <c r="L134" s="46">
        <v>1</v>
      </c>
      <c r="M134" s="2"/>
      <c r="N134" s="46" t="s">
        <v>59</v>
      </c>
      <c r="O134" s="46">
        <v>2</v>
      </c>
    </row>
    <row r="135" spans="2:16" x14ac:dyDescent="0.25">
      <c r="B135" s="45" t="s">
        <v>60</v>
      </c>
      <c r="C135" s="45">
        <v>3</v>
      </c>
      <c r="D135" s="2"/>
      <c r="E135" s="45" t="s">
        <v>60</v>
      </c>
      <c r="F135" s="45">
        <v>4</v>
      </c>
      <c r="H135" s="45" t="s">
        <v>60</v>
      </c>
      <c r="I135" s="45">
        <v>4</v>
      </c>
      <c r="K135" s="46" t="s">
        <v>60</v>
      </c>
      <c r="L135" s="46">
        <v>4</v>
      </c>
      <c r="M135" s="2"/>
      <c r="N135" s="46" t="s">
        <v>60</v>
      </c>
      <c r="O135" s="46">
        <v>1</v>
      </c>
    </row>
    <row r="136" spans="2:16" x14ac:dyDescent="0.25">
      <c r="B136" s="45" t="s">
        <v>84</v>
      </c>
      <c r="C136" s="45">
        <v>2</v>
      </c>
      <c r="D136" s="2"/>
      <c r="E136" s="45" t="s">
        <v>85</v>
      </c>
      <c r="F136" s="45">
        <v>1</v>
      </c>
      <c r="H136" s="45" t="s">
        <v>62</v>
      </c>
      <c r="I136" s="45">
        <v>5</v>
      </c>
      <c r="K136" s="46" t="s">
        <v>62</v>
      </c>
      <c r="L136" s="46">
        <v>5</v>
      </c>
      <c r="M136" s="2"/>
      <c r="N136" s="46" t="s">
        <v>62</v>
      </c>
      <c r="O136" s="46">
        <v>6</v>
      </c>
    </row>
    <row r="137" spans="2:16" x14ac:dyDescent="0.25">
      <c r="B137" s="45" t="s">
        <v>64</v>
      </c>
      <c r="C137" s="45">
        <v>6</v>
      </c>
      <c r="D137" s="2"/>
      <c r="E137" s="45" t="s">
        <v>64</v>
      </c>
      <c r="F137" s="45">
        <v>7</v>
      </c>
      <c r="H137" s="45" t="s">
        <v>64</v>
      </c>
      <c r="I137" s="45">
        <v>8</v>
      </c>
      <c r="K137" s="46" t="s">
        <v>64</v>
      </c>
      <c r="L137" s="46">
        <v>8</v>
      </c>
      <c r="M137" s="2"/>
      <c r="N137" s="46" t="s">
        <v>64</v>
      </c>
      <c r="O137" s="46">
        <v>5</v>
      </c>
    </row>
    <row r="138" spans="2:16" x14ac:dyDescent="0.25">
      <c r="B138" s="45" t="s">
        <v>66</v>
      </c>
      <c r="C138" s="45">
        <v>8</v>
      </c>
      <c r="D138" s="2"/>
      <c r="E138" s="45" t="s">
        <v>66</v>
      </c>
      <c r="F138" s="45">
        <v>6</v>
      </c>
      <c r="H138" s="45" t="s">
        <v>66</v>
      </c>
      <c r="I138" s="45">
        <v>7</v>
      </c>
      <c r="K138" s="46" t="s">
        <v>66</v>
      </c>
      <c r="L138" s="46">
        <v>9</v>
      </c>
      <c r="M138" s="2"/>
      <c r="N138" s="46" t="s">
        <v>66</v>
      </c>
      <c r="O138" s="46">
        <v>9</v>
      </c>
    </row>
    <row r="139" spans="2:16" x14ac:dyDescent="0.25">
      <c r="B139" s="45" t="s">
        <v>98</v>
      </c>
      <c r="C139" s="45">
        <v>5</v>
      </c>
      <c r="D139" s="2"/>
      <c r="E139" s="45" t="s">
        <v>67</v>
      </c>
      <c r="F139" s="45">
        <v>9</v>
      </c>
      <c r="H139" s="45" t="s">
        <v>67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59</v>
      </c>
      <c r="L141" s="46">
        <v>4</v>
      </c>
      <c r="N141" s="46" t="s">
        <v>59</v>
      </c>
      <c r="O141" s="46">
        <v>3</v>
      </c>
    </row>
    <row r="142" spans="2:16" x14ac:dyDescent="0.25">
      <c r="K142" s="46" t="s">
        <v>60</v>
      </c>
      <c r="L142" s="46">
        <v>3</v>
      </c>
      <c r="N142" s="46" t="s">
        <v>60</v>
      </c>
      <c r="O142" s="46">
        <v>2</v>
      </c>
    </row>
    <row r="143" spans="2:16" x14ac:dyDescent="0.25">
      <c r="K143" s="46" t="s">
        <v>62</v>
      </c>
      <c r="L143" s="46">
        <v>8</v>
      </c>
      <c r="N143" s="46" t="s">
        <v>62</v>
      </c>
      <c r="O143" s="46">
        <v>7</v>
      </c>
    </row>
    <row r="144" spans="2:16" x14ac:dyDescent="0.25">
      <c r="K144" s="46" t="s">
        <v>64</v>
      </c>
      <c r="L144" s="46">
        <v>7</v>
      </c>
      <c r="N144" s="46" t="s">
        <v>64</v>
      </c>
      <c r="O144" s="46">
        <v>6</v>
      </c>
    </row>
    <row r="146" spans="2:15" ht="26.25" x14ac:dyDescent="0.25">
      <c r="B146" s="179" t="s">
        <v>99</v>
      </c>
      <c r="C146" s="179"/>
      <c r="D146" s="179"/>
      <c r="E146" s="179"/>
      <c r="F146" s="179"/>
      <c r="G146" s="179"/>
      <c r="H146" s="179"/>
      <c r="I146" s="179"/>
      <c r="J146" s="179"/>
      <c r="K146" s="179"/>
      <c r="L146" s="179"/>
      <c r="M146" s="179"/>
      <c r="N146" s="179"/>
      <c r="O146" s="179"/>
    </row>
    <row r="148" spans="2:15" x14ac:dyDescent="0.25">
      <c r="B148" s="45" t="s">
        <v>59</v>
      </c>
      <c r="C148" s="45">
        <v>1</v>
      </c>
      <c r="D148" s="2"/>
      <c r="E148" s="45" t="s">
        <v>59</v>
      </c>
      <c r="F148" s="45">
        <v>2</v>
      </c>
      <c r="H148" s="45" t="s">
        <v>59</v>
      </c>
      <c r="I148" s="45">
        <v>3</v>
      </c>
      <c r="K148" s="46" t="s">
        <v>59</v>
      </c>
      <c r="L148" s="46">
        <v>1</v>
      </c>
      <c r="N148" s="46" t="s">
        <v>59</v>
      </c>
      <c r="O148" s="46">
        <v>2</v>
      </c>
    </row>
    <row r="149" spans="2:15" x14ac:dyDescent="0.25">
      <c r="B149" s="45" t="s">
        <v>60</v>
      </c>
      <c r="C149" s="45">
        <v>3</v>
      </c>
      <c r="D149" s="2"/>
      <c r="E149" s="45" t="s">
        <v>60</v>
      </c>
      <c r="F149" s="45">
        <v>4</v>
      </c>
      <c r="H149" s="45" t="s">
        <v>60</v>
      </c>
      <c r="I149" s="45">
        <v>4</v>
      </c>
      <c r="K149" s="46" t="s">
        <v>60</v>
      </c>
      <c r="L149" s="46">
        <v>4</v>
      </c>
      <c r="N149" s="46" t="s">
        <v>60</v>
      </c>
      <c r="O149" s="46">
        <v>1</v>
      </c>
    </row>
    <row r="150" spans="2:15" x14ac:dyDescent="0.25">
      <c r="B150" s="45" t="s">
        <v>84</v>
      </c>
      <c r="C150" s="45">
        <v>2</v>
      </c>
      <c r="D150" s="2"/>
      <c r="E150" s="45" t="s">
        <v>85</v>
      </c>
      <c r="F150" s="45">
        <v>1</v>
      </c>
      <c r="H150" s="45" t="s">
        <v>62</v>
      </c>
      <c r="I150" s="45">
        <v>5</v>
      </c>
      <c r="K150" s="46" t="s">
        <v>62</v>
      </c>
      <c r="L150" s="46">
        <v>5</v>
      </c>
      <c r="N150" s="46" t="s">
        <v>62</v>
      </c>
      <c r="O150" s="46">
        <v>6</v>
      </c>
    </row>
    <row r="151" spans="2:15" x14ac:dyDescent="0.25">
      <c r="B151" s="45" t="s">
        <v>64</v>
      </c>
      <c r="C151" s="45">
        <v>6</v>
      </c>
      <c r="D151" s="2"/>
      <c r="E151" s="45" t="s">
        <v>64</v>
      </c>
      <c r="F151" s="45">
        <v>7</v>
      </c>
      <c r="H151" s="45" t="s">
        <v>64</v>
      </c>
      <c r="I151" s="45">
        <v>8</v>
      </c>
      <c r="K151" s="46" t="s">
        <v>64</v>
      </c>
      <c r="L151" s="46">
        <v>8</v>
      </c>
      <c r="N151" s="46" t="s">
        <v>64</v>
      </c>
      <c r="O151" s="46">
        <v>5</v>
      </c>
    </row>
    <row r="152" spans="2:15" x14ac:dyDescent="0.25">
      <c r="B152" s="45" t="s">
        <v>66</v>
      </c>
      <c r="C152" s="45">
        <v>8</v>
      </c>
      <c r="D152" s="2"/>
      <c r="E152" s="45" t="s">
        <v>66</v>
      </c>
      <c r="F152" s="45">
        <v>6</v>
      </c>
      <c r="H152" s="45" t="s">
        <v>66</v>
      </c>
      <c r="I152" s="45">
        <v>7</v>
      </c>
      <c r="K152" s="46" t="s">
        <v>66</v>
      </c>
      <c r="L152" s="46">
        <v>9</v>
      </c>
      <c r="N152" s="46" t="s">
        <v>96</v>
      </c>
      <c r="O152" s="46">
        <v>10</v>
      </c>
    </row>
    <row r="153" spans="2:15" x14ac:dyDescent="0.25">
      <c r="B153" s="45" t="s">
        <v>98</v>
      </c>
      <c r="C153" s="45">
        <v>5</v>
      </c>
      <c r="D153" s="2"/>
      <c r="E153" s="45" t="s">
        <v>67</v>
      </c>
      <c r="F153" s="45">
        <v>9</v>
      </c>
      <c r="H153" s="45" t="s">
        <v>96</v>
      </c>
      <c r="I153" s="45">
        <v>10</v>
      </c>
    </row>
    <row r="154" spans="2:15" x14ac:dyDescent="0.25">
      <c r="B154" s="45" t="s">
        <v>68</v>
      </c>
      <c r="C154" s="45">
        <v>9</v>
      </c>
      <c r="E154" s="2"/>
      <c r="F154" s="2"/>
    </row>
    <row r="155" spans="2:15" x14ac:dyDescent="0.25">
      <c r="K155" s="46" t="s">
        <v>59</v>
      </c>
      <c r="L155" s="46">
        <v>4</v>
      </c>
      <c r="N155" s="46" t="s">
        <v>59</v>
      </c>
      <c r="O155" s="46">
        <v>3</v>
      </c>
    </row>
    <row r="156" spans="2:15" x14ac:dyDescent="0.25">
      <c r="K156" s="46" t="s">
        <v>60</v>
      </c>
      <c r="L156" s="46">
        <v>3</v>
      </c>
      <c r="N156" s="46" t="s">
        <v>60</v>
      </c>
      <c r="O156" s="46">
        <v>2</v>
      </c>
    </row>
    <row r="157" spans="2:15" x14ac:dyDescent="0.25">
      <c r="K157" s="46" t="s">
        <v>62</v>
      </c>
      <c r="L157" s="46">
        <v>8</v>
      </c>
      <c r="N157" s="46" t="s">
        <v>62</v>
      </c>
      <c r="O157" s="46">
        <v>7</v>
      </c>
    </row>
    <row r="158" spans="2:15" x14ac:dyDescent="0.25">
      <c r="K158" s="46" t="s">
        <v>64</v>
      </c>
      <c r="L158" s="46">
        <v>7</v>
      </c>
      <c r="N158" s="46" t="s">
        <v>64</v>
      </c>
      <c r="O158" s="46">
        <v>6</v>
      </c>
    </row>
    <row r="159" spans="2:15" x14ac:dyDescent="0.25">
      <c r="K159" s="46" t="s">
        <v>66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79" t="s">
        <v>100</v>
      </c>
      <c r="C162" s="179"/>
      <c r="D162" s="179"/>
      <c r="E162" s="179"/>
      <c r="F162" s="179"/>
      <c r="G162" s="179"/>
      <c r="H162" s="179"/>
      <c r="I162" s="179"/>
      <c r="J162" s="179"/>
      <c r="K162" s="179"/>
      <c r="L162" s="179"/>
      <c r="M162" s="179"/>
      <c r="N162" s="179"/>
      <c r="O162" s="179"/>
      <c r="P162" s="179"/>
      <c r="Q162" s="179"/>
      <c r="R162" s="179"/>
      <c r="S162" s="179"/>
      <c r="T162" s="179"/>
      <c r="U162" s="179"/>
      <c r="V162" s="179"/>
      <c r="W162" s="179"/>
      <c r="X162" s="179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59</v>
      </c>
      <c r="C164" s="45">
        <v>1</v>
      </c>
      <c r="D164" s="2"/>
      <c r="E164" s="45" t="s">
        <v>59</v>
      </c>
      <c r="F164" s="45">
        <v>2</v>
      </c>
      <c r="H164" s="45" t="s">
        <v>59</v>
      </c>
      <c r="I164" s="45">
        <v>3</v>
      </c>
      <c r="K164" s="46" t="s">
        <v>59</v>
      </c>
      <c r="L164" s="46">
        <v>1</v>
      </c>
      <c r="N164" s="46" t="s">
        <v>59</v>
      </c>
      <c r="O164" s="46">
        <v>2</v>
      </c>
      <c r="Q164" s="58" t="s">
        <v>59</v>
      </c>
      <c r="R164" s="58">
        <v>1</v>
      </c>
      <c r="T164" s="58" t="s">
        <v>59</v>
      </c>
      <c r="U164" s="58">
        <v>2</v>
      </c>
      <c r="W164" s="58" t="s">
        <v>59</v>
      </c>
      <c r="X164" s="58">
        <v>3</v>
      </c>
    </row>
    <row r="165" spans="2:24" x14ac:dyDescent="0.25">
      <c r="B165" s="45" t="s">
        <v>60</v>
      </c>
      <c r="C165" s="45">
        <v>3</v>
      </c>
      <c r="D165" s="2"/>
      <c r="E165" s="45" t="s">
        <v>60</v>
      </c>
      <c r="F165" s="45">
        <v>4</v>
      </c>
      <c r="H165" s="45" t="s">
        <v>60</v>
      </c>
      <c r="I165" s="45">
        <v>4</v>
      </c>
      <c r="K165" s="46" t="s">
        <v>60</v>
      </c>
      <c r="L165" s="46">
        <v>4</v>
      </c>
      <c r="N165" s="46" t="s">
        <v>60</v>
      </c>
      <c r="O165" s="46">
        <v>1</v>
      </c>
      <c r="Q165" s="58" t="s">
        <v>101</v>
      </c>
      <c r="R165" s="58">
        <v>2</v>
      </c>
      <c r="T165" s="58" t="s">
        <v>101</v>
      </c>
      <c r="U165" s="58">
        <v>3</v>
      </c>
      <c r="W165" s="58" t="s">
        <v>60</v>
      </c>
      <c r="X165" s="58">
        <v>5</v>
      </c>
    </row>
    <row r="166" spans="2:24" x14ac:dyDescent="0.25">
      <c r="B166" s="45" t="s">
        <v>84</v>
      </c>
      <c r="C166" s="45">
        <v>2</v>
      </c>
      <c r="D166" s="2"/>
      <c r="E166" s="45" t="s">
        <v>85</v>
      </c>
      <c r="F166" s="45">
        <v>1</v>
      </c>
      <c r="H166" s="45" t="s">
        <v>62</v>
      </c>
      <c r="I166" s="45">
        <v>5</v>
      </c>
      <c r="K166" s="46" t="s">
        <v>62</v>
      </c>
      <c r="L166" s="46">
        <v>5</v>
      </c>
      <c r="N166" s="46" t="s">
        <v>62</v>
      </c>
      <c r="O166" s="46">
        <v>6</v>
      </c>
      <c r="Q166" s="58" t="s">
        <v>62</v>
      </c>
      <c r="R166" s="58">
        <v>7</v>
      </c>
      <c r="T166" s="58" t="s">
        <v>62</v>
      </c>
      <c r="U166" s="58">
        <v>8</v>
      </c>
      <c r="W166" s="58" t="s">
        <v>62</v>
      </c>
      <c r="X166" s="58">
        <v>6</v>
      </c>
    </row>
    <row r="167" spans="2:24" x14ac:dyDescent="0.25">
      <c r="B167" s="45" t="s">
        <v>64</v>
      </c>
      <c r="C167" s="45">
        <v>6</v>
      </c>
      <c r="D167" s="2"/>
      <c r="E167" s="45" t="s">
        <v>64</v>
      </c>
      <c r="F167" s="45">
        <v>7</v>
      </c>
      <c r="H167" s="45" t="s">
        <v>64</v>
      </c>
      <c r="I167" s="45">
        <v>8</v>
      </c>
      <c r="K167" s="46" t="s">
        <v>64</v>
      </c>
      <c r="L167" s="46">
        <v>8</v>
      </c>
      <c r="N167" s="46" t="s">
        <v>64</v>
      </c>
      <c r="O167" s="46">
        <v>5</v>
      </c>
      <c r="Q167" s="58" t="s">
        <v>102</v>
      </c>
      <c r="R167" s="58">
        <v>8</v>
      </c>
      <c r="T167" s="58" t="s">
        <v>64</v>
      </c>
      <c r="U167" s="58">
        <v>9</v>
      </c>
      <c r="W167" s="58" t="s">
        <v>64</v>
      </c>
      <c r="X167" s="58">
        <v>9</v>
      </c>
    </row>
    <row r="168" spans="2:24" x14ac:dyDescent="0.25">
      <c r="B168" s="45" t="s">
        <v>66</v>
      </c>
      <c r="C168" s="45">
        <v>8</v>
      </c>
      <c r="D168" s="2"/>
      <c r="E168" s="45" t="s">
        <v>66</v>
      </c>
      <c r="F168" s="45">
        <v>6</v>
      </c>
      <c r="H168" s="45" t="s">
        <v>66</v>
      </c>
      <c r="I168" s="45">
        <v>7</v>
      </c>
      <c r="K168" s="46" t="s">
        <v>66</v>
      </c>
      <c r="L168" s="46">
        <v>9</v>
      </c>
      <c r="N168" s="46" t="s">
        <v>66</v>
      </c>
      <c r="O168" s="46">
        <v>10</v>
      </c>
    </row>
    <row r="169" spans="2:24" x14ac:dyDescent="0.25">
      <c r="B169" s="45" t="s">
        <v>98</v>
      </c>
      <c r="C169" s="45">
        <v>5</v>
      </c>
      <c r="D169" s="2"/>
      <c r="E169" s="45" t="s">
        <v>67</v>
      </c>
      <c r="F169" s="45">
        <v>9</v>
      </c>
      <c r="H169" s="45" t="s">
        <v>67</v>
      </c>
      <c r="I169" s="45">
        <v>10</v>
      </c>
    </row>
    <row r="170" spans="2:24" x14ac:dyDescent="0.25">
      <c r="B170" s="45" t="s">
        <v>68</v>
      </c>
      <c r="C170" s="45">
        <v>9</v>
      </c>
      <c r="E170" s="45" t="s">
        <v>68</v>
      </c>
      <c r="F170" s="45">
        <v>10</v>
      </c>
    </row>
    <row r="171" spans="2:24" x14ac:dyDescent="0.25">
      <c r="K171" s="46" t="s">
        <v>59</v>
      </c>
      <c r="L171" s="46">
        <v>4</v>
      </c>
      <c r="N171" s="46" t="s">
        <v>59</v>
      </c>
      <c r="O171" s="46">
        <v>3</v>
      </c>
      <c r="Q171" s="58" t="s">
        <v>59</v>
      </c>
      <c r="R171" s="58">
        <v>4</v>
      </c>
      <c r="T171" s="58" t="s">
        <v>59</v>
      </c>
      <c r="U171" s="58">
        <v>1</v>
      </c>
    </row>
    <row r="172" spans="2:24" x14ac:dyDescent="0.25">
      <c r="K172" s="46" t="s">
        <v>60</v>
      </c>
      <c r="L172" s="46">
        <v>3</v>
      </c>
      <c r="N172" s="46" t="s">
        <v>60</v>
      </c>
      <c r="O172" s="46">
        <v>2</v>
      </c>
      <c r="Q172" s="58" t="s">
        <v>60</v>
      </c>
      <c r="R172" s="58">
        <v>6</v>
      </c>
      <c r="T172" s="58" t="s">
        <v>101</v>
      </c>
      <c r="U172" s="58">
        <v>4</v>
      </c>
    </row>
    <row r="173" spans="2:24" x14ac:dyDescent="0.25">
      <c r="K173" s="46" t="s">
        <v>62</v>
      </c>
      <c r="L173" s="46">
        <v>8</v>
      </c>
      <c r="N173" s="46" t="s">
        <v>62</v>
      </c>
      <c r="O173" s="46">
        <v>7</v>
      </c>
      <c r="Q173" s="58" t="s">
        <v>62</v>
      </c>
      <c r="R173" s="58">
        <v>5</v>
      </c>
      <c r="T173" s="58" t="s">
        <v>62</v>
      </c>
      <c r="U173" s="58">
        <v>7</v>
      </c>
    </row>
    <row r="174" spans="2:24" x14ac:dyDescent="0.25">
      <c r="K174" s="46" t="s">
        <v>64</v>
      </c>
      <c r="L174" s="46">
        <v>7</v>
      </c>
      <c r="N174" s="59" t="s">
        <v>64</v>
      </c>
      <c r="O174" s="59">
        <v>6</v>
      </c>
      <c r="Q174" s="58" t="s">
        <v>64</v>
      </c>
      <c r="R174" s="58">
        <v>10</v>
      </c>
      <c r="T174" s="58" t="s">
        <v>64</v>
      </c>
      <c r="U174" s="58">
        <v>10</v>
      </c>
    </row>
    <row r="175" spans="2:24" x14ac:dyDescent="0.25">
      <c r="K175" s="46" t="s">
        <v>66</v>
      </c>
      <c r="L175" s="46">
        <v>10</v>
      </c>
      <c r="N175" s="46" t="s">
        <v>66</v>
      </c>
      <c r="O175" s="46">
        <v>9</v>
      </c>
    </row>
    <row r="177" spans="2:15" ht="26.25" x14ac:dyDescent="0.25">
      <c r="B177" s="179" t="s">
        <v>103</v>
      </c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79"/>
      <c r="O177" s="179"/>
    </row>
    <row r="179" spans="2:15" x14ac:dyDescent="0.25">
      <c r="B179" s="45" t="s">
        <v>59</v>
      </c>
      <c r="C179" s="45">
        <v>1</v>
      </c>
      <c r="D179" s="2"/>
      <c r="E179" s="45" t="s">
        <v>59</v>
      </c>
      <c r="F179" s="45">
        <v>2</v>
      </c>
      <c r="H179" s="45" t="s">
        <v>59</v>
      </c>
      <c r="I179" s="45">
        <v>3</v>
      </c>
      <c r="K179" s="46" t="s">
        <v>59</v>
      </c>
      <c r="L179" s="46">
        <v>1</v>
      </c>
      <c r="M179" s="2"/>
      <c r="N179" s="46" t="s">
        <v>59</v>
      </c>
      <c r="O179" s="46">
        <v>2</v>
      </c>
    </row>
    <row r="180" spans="2:15" x14ac:dyDescent="0.25">
      <c r="B180" s="45" t="s">
        <v>60</v>
      </c>
      <c r="C180" s="45">
        <v>3</v>
      </c>
      <c r="D180" s="2"/>
      <c r="E180" s="45" t="s">
        <v>60</v>
      </c>
      <c r="F180" s="45">
        <v>4</v>
      </c>
      <c r="H180" s="45" t="s">
        <v>60</v>
      </c>
      <c r="I180" s="45">
        <v>4</v>
      </c>
      <c r="K180" s="46" t="s">
        <v>60</v>
      </c>
      <c r="L180" s="46">
        <v>4</v>
      </c>
      <c r="M180" s="2"/>
      <c r="N180" s="46" t="s">
        <v>60</v>
      </c>
      <c r="O180" s="46">
        <v>1</v>
      </c>
    </row>
    <row r="181" spans="2:15" x14ac:dyDescent="0.25">
      <c r="B181" s="45" t="s">
        <v>88</v>
      </c>
      <c r="C181" s="45">
        <v>2</v>
      </c>
      <c r="D181" s="2"/>
      <c r="E181" s="45" t="s">
        <v>88</v>
      </c>
      <c r="F181" s="45">
        <v>1</v>
      </c>
      <c r="H181" s="45" t="s">
        <v>62</v>
      </c>
      <c r="I181" s="45">
        <v>5</v>
      </c>
      <c r="K181" s="46" t="s">
        <v>62</v>
      </c>
      <c r="L181" s="46">
        <v>5</v>
      </c>
      <c r="M181" s="2"/>
      <c r="N181" s="46" t="s">
        <v>62</v>
      </c>
      <c r="O181" s="46">
        <v>6</v>
      </c>
    </row>
    <row r="182" spans="2:15" x14ac:dyDescent="0.25">
      <c r="B182" s="45" t="s">
        <v>64</v>
      </c>
      <c r="C182" s="45">
        <v>6</v>
      </c>
      <c r="D182" s="2"/>
      <c r="E182" s="45" t="s">
        <v>64</v>
      </c>
      <c r="F182" s="45">
        <v>7</v>
      </c>
      <c r="H182" s="45" t="s">
        <v>64</v>
      </c>
      <c r="I182" s="45">
        <v>8</v>
      </c>
      <c r="K182" s="46" t="s">
        <v>64</v>
      </c>
      <c r="L182" s="46">
        <v>8</v>
      </c>
      <c r="M182" s="2"/>
      <c r="N182" s="46" t="s">
        <v>64</v>
      </c>
      <c r="O182" s="46">
        <v>5</v>
      </c>
    </row>
    <row r="183" spans="2:15" x14ac:dyDescent="0.25">
      <c r="B183" s="45" t="s">
        <v>66</v>
      </c>
      <c r="C183" s="45">
        <v>8</v>
      </c>
      <c r="D183" s="2"/>
      <c r="E183" s="45" t="s">
        <v>66</v>
      </c>
      <c r="F183" s="45">
        <v>6</v>
      </c>
      <c r="H183" s="45" t="s">
        <v>66</v>
      </c>
      <c r="I183" s="45">
        <v>7</v>
      </c>
      <c r="K183" s="46" t="s">
        <v>66</v>
      </c>
      <c r="L183" s="46">
        <v>9</v>
      </c>
      <c r="M183" s="2"/>
      <c r="N183" s="46" t="s">
        <v>66</v>
      </c>
      <c r="O183" s="46">
        <v>9</v>
      </c>
    </row>
    <row r="184" spans="2:15" x14ac:dyDescent="0.25">
      <c r="B184" s="45" t="s">
        <v>104</v>
      </c>
      <c r="C184" s="45">
        <v>5</v>
      </c>
      <c r="D184" s="2"/>
      <c r="E184" s="45" t="s">
        <v>67</v>
      </c>
      <c r="F184" s="45">
        <v>9</v>
      </c>
      <c r="H184" s="45" t="s">
        <v>67</v>
      </c>
      <c r="I184" s="45">
        <v>10</v>
      </c>
      <c r="K184" s="46" t="s">
        <v>67</v>
      </c>
      <c r="L184" s="46">
        <v>10</v>
      </c>
    </row>
    <row r="185" spans="2:15" x14ac:dyDescent="0.25">
      <c r="B185" s="45" t="s">
        <v>68</v>
      </c>
      <c r="C185" s="45">
        <v>10</v>
      </c>
      <c r="D185" s="2"/>
      <c r="E185" s="45" t="s">
        <v>71</v>
      </c>
      <c r="F185" s="45">
        <v>11</v>
      </c>
      <c r="H185" s="45" t="s">
        <v>68</v>
      </c>
      <c r="I185" s="45">
        <v>9</v>
      </c>
    </row>
    <row r="187" spans="2:15" x14ac:dyDescent="0.25">
      <c r="K187" s="46" t="s">
        <v>59</v>
      </c>
      <c r="L187" s="46">
        <v>4</v>
      </c>
      <c r="N187" s="46" t="s">
        <v>59</v>
      </c>
      <c r="O187" s="46">
        <v>3</v>
      </c>
    </row>
    <row r="188" spans="2:15" x14ac:dyDescent="0.25">
      <c r="K188" s="46" t="s">
        <v>60</v>
      </c>
      <c r="L188" s="46">
        <v>3</v>
      </c>
      <c r="N188" s="46" t="s">
        <v>60</v>
      </c>
      <c r="O188" s="46">
        <v>2</v>
      </c>
    </row>
    <row r="189" spans="2:15" x14ac:dyDescent="0.25">
      <c r="K189" s="46" t="s">
        <v>62</v>
      </c>
      <c r="L189" s="46">
        <v>8</v>
      </c>
      <c r="N189" s="46" t="s">
        <v>62</v>
      </c>
      <c r="O189" s="46">
        <v>7</v>
      </c>
    </row>
    <row r="190" spans="2:15" x14ac:dyDescent="0.25">
      <c r="K190" s="46" t="s">
        <v>64</v>
      </c>
      <c r="L190" s="46">
        <v>7</v>
      </c>
      <c r="N190" s="46" t="s">
        <v>64</v>
      </c>
      <c r="O190" s="46">
        <v>6</v>
      </c>
    </row>
    <row r="191" spans="2:15" x14ac:dyDescent="0.25">
      <c r="K191" s="46" t="s">
        <v>66</v>
      </c>
      <c r="L191" s="46">
        <v>10</v>
      </c>
      <c r="N191" s="46" t="s">
        <v>71</v>
      </c>
      <c r="O191" s="46"/>
    </row>
    <row r="194" spans="2:15" ht="26.25" x14ac:dyDescent="0.25">
      <c r="B194" s="179" t="s">
        <v>105</v>
      </c>
      <c r="C194" s="179"/>
      <c r="D194" s="179"/>
      <c r="E194" s="179"/>
      <c r="F194" s="179"/>
      <c r="G194" s="179"/>
      <c r="H194" s="179"/>
      <c r="I194" s="179"/>
      <c r="J194" s="179"/>
      <c r="K194" s="179"/>
      <c r="L194" s="179"/>
      <c r="M194" s="179"/>
      <c r="N194" s="179"/>
      <c r="O194" s="179"/>
    </row>
    <row r="196" spans="2:15" x14ac:dyDescent="0.25">
      <c r="B196" s="45" t="s">
        <v>59</v>
      </c>
      <c r="C196" s="45">
        <v>1</v>
      </c>
      <c r="D196" s="2"/>
      <c r="E196" s="45" t="s">
        <v>59</v>
      </c>
      <c r="F196" s="45">
        <v>2</v>
      </c>
      <c r="H196" s="45" t="s">
        <v>59</v>
      </c>
      <c r="I196" s="45">
        <v>3</v>
      </c>
      <c r="K196" s="46" t="s">
        <v>59</v>
      </c>
      <c r="L196" s="46">
        <v>1</v>
      </c>
      <c r="M196" s="2"/>
      <c r="N196" s="46" t="s">
        <v>59</v>
      </c>
      <c r="O196" s="46">
        <v>2</v>
      </c>
    </row>
    <row r="197" spans="2:15" x14ac:dyDescent="0.25">
      <c r="B197" s="45" t="s">
        <v>60</v>
      </c>
      <c r="C197" s="45">
        <v>3</v>
      </c>
      <c r="D197" s="2"/>
      <c r="E197" s="45" t="s">
        <v>60</v>
      </c>
      <c r="F197" s="45">
        <v>4</v>
      </c>
      <c r="H197" s="45" t="s">
        <v>60</v>
      </c>
      <c r="I197" s="45">
        <v>4</v>
      </c>
      <c r="K197" s="46" t="s">
        <v>60</v>
      </c>
      <c r="L197" s="46">
        <v>4</v>
      </c>
      <c r="M197" s="2"/>
      <c r="N197" s="46" t="s">
        <v>60</v>
      </c>
      <c r="O197" s="46">
        <v>1</v>
      </c>
    </row>
    <row r="198" spans="2:15" x14ac:dyDescent="0.25">
      <c r="B198" s="45" t="s">
        <v>84</v>
      </c>
      <c r="C198" s="45">
        <v>2</v>
      </c>
      <c r="D198" s="2"/>
      <c r="E198" s="45" t="s">
        <v>85</v>
      </c>
      <c r="F198" s="45">
        <v>1</v>
      </c>
      <c r="H198" s="45" t="s">
        <v>62</v>
      </c>
      <c r="I198" s="45">
        <v>5</v>
      </c>
      <c r="K198" s="46" t="s">
        <v>62</v>
      </c>
      <c r="L198" s="46">
        <v>5</v>
      </c>
      <c r="M198" s="2"/>
      <c r="N198" s="46" t="s">
        <v>62</v>
      </c>
      <c r="O198" s="46">
        <v>6</v>
      </c>
    </row>
    <row r="199" spans="2:15" x14ac:dyDescent="0.25">
      <c r="B199" s="45" t="s">
        <v>64</v>
      </c>
      <c r="C199" s="45">
        <v>6</v>
      </c>
      <c r="D199" s="2"/>
      <c r="E199" s="45" t="s">
        <v>64</v>
      </c>
      <c r="F199" s="45">
        <v>7</v>
      </c>
      <c r="H199" s="45" t="s">
        <v>64</v>
      </c>
      <c r="I199" s="45">
        <v>8</v>
      </c>
      <c r="K199" s="46" t="s">
        <v>64</v>
      </c>
      <c r="L199" s="46">
        <v>8</v>
      </c>
      <c r="M199" s="2"/>
      <c r="N199" s="46" t="s">
        <v>64</v>
      </c>
      <c r="O199" s="46">
        <v>5</v>
      </c>
    </row>
    <row r="200" spans="2:15" x14ac:dyDescent="0.25">
      <c r="B200" s="45" t="s">
        <v>66</v>
      </c>
      <c r="C200" s="45">
        <v>8</v>
      </c>
      <c r="D200" s="2"/>
      <c r="E200" s="45" t="s">
        <v>66</v>
      </c>
      <c r="F200" s="45">
        <v>6</v>
      </c>
      <c r="H200" s="45" t="s">
        <v>66</v>
      </c>
      <c r="I200" s="45">
        <v>7</v>
      </c>
      <c r="K200" s="46" t="s">
        <v>66</v>
      </c>
      <c r="L200" s="46">
        <v>9</v>
      </c>
      <c r="M200" s="2"/>
      <c r="N200" s="46" t="s">
        <v>66</v>
      </c>
      <c r="O200" s="46">
        <v>11</v>
      </c>
    </row>
    <row r="201" spans="2:15" x14ac:dyDescent="0.25">
      <c r="B201" s="45" t="s">
        <v>98</v>
      </c>
      <c r="C201" s="45">
        <v>5</v>
      </c>
      <c r="D201" s="2"/>
      <c r="E201" s="45" t="s">
        <v>67</v>
      </c>
      <c r="F201" s="45">
        <v>9</v>
      </c>
      <c r="H201" s="45" t="s">
        <v>67</v>
      </c>
      <c r="I201" s="45">
        <v>10</v>
      </c>
      <c r="K201" s="46" t="s">
        <v>67</v>
      </c>
      <c r="L201" s="46">
        <v>10</v>
      </c>
      <c r="M201" s="2"/>
      <c r="N201" s="46" t="s">
        <v>67</v>
      </c>
      <c r="O201" s="46">
        <v>9</v>
      </c>
    </row>
    <row r="202" spans="2:15" x14ac:dyDescent="0.25">
      <c r="B202" s="45" t="s">
        <v>68</v>
      </c>
      <c r="C202" s="45">
        <v>10</v>
      </c>
      <c r="D202" s="2"/>
      <c r="E202" s="45" t="s">
        <v>68</v>
      </c>
      <c r="F202" s="45">
        <v>11</v>
      </c>
      <c r="H202" s="45" t="s">
        <v>68</v>
      </c>
      <c r="I202" s="45">
        <v>11</v>
      </c>
    </row>
    <row r="203" spans="2:15" x14ac:dyDescent="0.25">
      <c r="B203" s="45" t="s">
        <v>69</v>
      </c>
      <c r="C203" s="45">
        <v>9</v>
      </c>
      <c r="D203" s="2"/>
    </row>
    <row r="204" spans="2:15" x14ac:dyDescent="0.25">
      <c r="K204" s="46" t="s">
        <v>59</v>
      </c>
      <c r="L204" s="46">
        <v>4</v>
      </c>
      <c r="M204" s="2"/>
      <c r="N204" s="46" t="s">
        <v>59</v>
      </c>
      <c r="O204" s="46">
        <v>3</v>
      </c>
    </row>
    <row r="205" spans="2:15" x14ac:dyDescent="0.25">
      <c r="K205" s="46" t="s">
        <v>60</v>
      </c>
      <c r="L205" s="46">
        <v>3</v>
      </c>
      <c r="M205" s="2"/>
      <c r="N205" s="46" t="s">
        <v>60</v>
      </c>
      <c r="O205" s="46">
        <v>2</v>
      </c>
    </row>
    <row r="206" spans="2:15" x14ac:dyDescent="0.25">
      <c r="K206" s="46" t="s">
        <v>62</v>
      </c>
      <c r="L206" s="46">
        <v>8</v>
      </c>
      <c r="M206" s="2"/>
      <c r="N206" s="46" t="s">
        <v>62</v>
      </c>
      <c r="O206" s="46">
        <v>7</v>
      </c>
    </row>
    <row r="207" spans="2:15" x14ac:dyDescent="0.25">
      <c r="K207" s="46" t="s">
        <v>64</v>
      </c>
      <c r="L207" s="46">
        <v>7</v>
      </c>
      <c r="M207" s="2"/>
      <c r="N207" s="46" t="s">
        <v>64</v>
      </c>
      <c r="O207" s="46">
        <v>6</v>
      </c>
    </row>
    <row r="208" spans="2:15" x14ac:dyDescent="0.25">
      <c r="K208" s="46" t="s">
        <v>66</v>
      </c>
      <c r="L208" s="46">
        <v>11</v>
      </c>
      <c r="M208" s="2"/>
      <c r="N208" s="46" t="s">
        <v>66</v>
      </c>
      <c r="O208" s="46">
        <v>10</v>
      </c>
    </row>
    <row r="210" spans="2:15" ht="26.25" x14ac:dyDescent="0.25">
      <c r="B210" s="179" t="s">
        <v>106</v>
      </c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79"/>
      <c r="O210" s="179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59</v>
      </c>
      <c r="C212" s="45">
        <v>1</v>
      </c>
      <c r="D212" s="2"/>
      <c r="E212" s="45" t="s">
        <v>59</v>
      </c>
      <c r="F212" s="45">
        <v>2</v>
      </c>
      <c r="H212" s="45" t="s">
        <v>59</v>
      </c>
      <c r="I212" s="45">
        <v>3</v>
      </c>
      <c r="K212" s="46" t="s">
        <v>59</v>
      </c>
      <c r="L212" s="46">
        <v>1</v>
      </c>
      <c r="M212" s="2"/>
      <c r="N212" s="46" t="s">
        <v>59</v>
      </c>
      <c r="O212" s="46">
        <v>2</v>
      </c>
    </row>
    <row r="213" spans="2:15" x14ac:dyDescent="0.25">
      <c r="B213" s="45" t="s">
        <v>60</v>
      </c>
      <c r="C213" s="45">
        <v>3</v>
      </c>
      <c r="D213" s="2"/>
      <c r="E213" s="45" t="s">
        <v>60</v>
      </c>
      <c r="F213" s="45">
        <v>4</v>
      </c>
      <c r="H213" s="45" t="s">
        <v>60</v>
      </c>
      <c r="I213" s="45">
        <v>4</v>
      </c>
      <c r="K213" s="46" t="s">
        <v>60</v>
      </c>
      <c r="L213" s="46">
        <v>4</v>
      </c>
      <c r="M213" s="2"/>
      <c r="N213" s="46" t="s">
        <v>60</v>
      </c>
      <c r="O213" s="46">
        <v>1</v>
      </c>
    </row>
    <row r="214" spans="2:15" x14ac:dyDescent="0.25">
      <c r="B214" s="45" t="s">
        <v>84</v>
      </c>
      <c r="C214" s="45">
        <v>2</v>
      </c>
      <c r="D214" s="2"/>
      <c r="E214" s="45" t="s">
        <v>85</v>
      </c>
      <c r="F214" s="45">
        <v>1</v>
      </c>
      <c r="H214" s="45" t="s">
        <v>62</v>
      </c>
      <c r="I214" s="45">
        <v>5</v>
      </c>
      <c r="K214" s="46" t="s">
        <v>84</v>
      </c>
      <c r="L214" s="46">
        <v>5</v>
      </c>
      <c r="M214" s="2"/>
      <c r="N214" s="46" t="s">
        <v>85</v>
      </c>
      <c r="O214" s="46">
        <v>6</v>
      </c>
    </row>
    <row r="215" spans="2:15" x14ac:dyDescent="0.25">
      <c r="B215" s="45" t="s">
        <v>64</v>
      </c>
      <c r="C215" s="45">
        <v>6</v>
      </c>
      <c r="D215" s="2"/>
      <c r="E215" s="45" t="s">
        <v>64</v>
      </c>
      <c r="F215" s="45">
        <v>7</v>
      </c>
      <c r="H215" s="45" t="s">
        <v>64</v>
      </c>
      <c r="I215" s="45">
        <v>8</v>
      </c>
      <c r="K215" s="46" t="s">
        <v>64</v>
      </c>
      <c r="L215" s="46">
        <v>8</v>
      </c>
      <c r="M215" s="2"/>
      <c r="N215" s="46" t="s">
        <v>64</v>
      </c>
      <c r="O215" s="46">
        <v>5</v>
      </c>
    </row>
    <row r="216" spans="2:15" x14ac:dyDescent="0.25">
      <c r="B216" s="45" t="s">
        <v>66</v>
      </c>
      <c r="C216" s="45">
        <v>8</v>
      </c>
      <c r="D216" s="2"/>
      <c r="E216" s="45" t="s">
        <v>66</v>
      </c>
      <c r="F216" s="45">
        <v>6</v>
      </c>
      <c r="H216" s="45" t="s">
        <v>66</v>
      </c>
      <c r="I216" s="45">
        <v>7</v>
      </c>
      <c r="K216" s="46" t="s">
        <v>66</v>
      </c>
      <c r="L216" s="46">
        <v>9</v>
      </c>
      <c r="M216" s="2"/>
      <c r="N216" s="46" t="s">
        <v>66</v>
      </c>
      <c r="O216" s="46">
        <v>10</v>
      </c>
    </row>
    <row r="217" spans="2:15" x14ac:dyDescent="0.25">
      <c r="B217" s="45" t="s">
        <v>98</v>
      </c>
      <c r="C217" s="45">
        <v>5</v>
      </c>
      <c r="D217" s="2"/>
      <c r="E217" s="45" t="s">
        <v>67</v>
      </c>
      <c r="F217" s="45">
        <v>9</v>
      </c>
      <c r="H217" s="45" t="s">
        <v>67</v>
      </c>
      <c r="I217" s="45">
        <v>10</v>
      </c>
      <c r="K217" s="46" t="s">
        <v>98</v>
      </c>
      <c r="L217" s="46">
        <v>11</v>
      </c>
      <c r="M217" s="2"/>
      <c r="N217" s="46" t="s">
        <v>67</v>
      </c>
      <c r="O217" s="46">
        <v>9</v>
      </c>
    </row>
    <row r="218" spans="2:15" x14ac:dyDescent="0.25">
      <c r="B218" s="45" t="s">
        <v>68</v>
      </c>
      <c r="C218" s="45">
        <v>11</v>
      </c>
      <c r="D218" s="2"/>
      <c r="E218" s="45" t="s">
        <v>68</v>
      </c>
      <c r="F218" s="45">
        <v>11</v>
      </c>
      <c r="H218" s="45" t="s">
        <v>68</v>
      </c>
      <c r="I218" s="45">
        <v>9</v>
      </c>
    </row>
    <row r="219" spans="2:15" x14ac:dyDescent="0.25">
      <c r="B219" s="45" t="s">
        <v>71</v>
      </c>
      <c r="C219" s="45">
        <v>12</v>
      </c>
      <c r="D219" s="2"/>
      <c r="E219" s="45" t="s">
        <v>69</v>
      </c>
      <c r="F219" s="45">
        <v>10</v>
      </c>
      <c r="H219" s="60"/>
      <c r="I219" s="60"/>
    </row>
    <row r="220" spans="2:15" x14ac:dyDescent="0.25">
      <c r="K220" s="46" t="s">
        <v>59</v>
      </c>
      <c r="L220" s="46">
        <v>4</v>
      </c>
      <c r="M220" s="2"/>
      <c r="N220" s="46" t="s">
        <v>59</v>
      </c>
      <c r="O220" s="46">
        <v>3</v>
      </c>
    </row>
    <row r="221" spans="2:15" x14ac:dyDescent="0.25">
      <c r="K221" s="46" t="s">
        <v>60</v>
      </c>
      <c r="L221" s="46">
        <v>3</v>
      </c>
      <c r="M221" s="2"/>
      <c r="N221" s="46" t="s">
        <v>60</v>
      </c>
      <c r="O221" s="46">
        <v>2</v>
      </c>
    </row>
    <row r="222" spans="2:15" x14ac:dyDescent="0.25">
      <c r="K222" s="46" t="s">
        <v>84</v>
      </c>
      <c r="L222" s="46">
        <v>8</v>
      </c>
      <c r="M222" s="2"/>
      <c r="N222" s="46" t="s">
        <v>85</v>
      </c>
      <c r="O222" s="46">
        <v>7</v>
      </c>
    </row>
    <row r="223" spans="2:15" x14ac:dyDescent="0.25">
      <c r="K223" s="46" t="s">
        <v>64</v>
      </c>
      <c r="L223" s="46">
        <v>7</v>
      </c>
      <c r="M223" s="2"/>
      <c r="N223" s="46" t="s">
        <v>64</v>
      </c>
      <c r="O223" s="46">
        <v>6</v>
      </c>
    </row>
    <row r="224" spans="2:15" x14ac:dyDescent="0.25">
      <c r="K224" s="46" t="s">
        <v>66</v>
      </c>
      <c r="L224" s="46">
        <v>11</v>
      </c>
      <c r="M224" s="2"/>
      <c r="N224" s="46" t="s">
        <v>66</v>
      </c>
      <c r="O224" s="46">
        <v>10</v>
      </c>
    </row>
    <row r="225" spans="2:15" x14ac:dyDescent="0.25">
      <c r="K225" s="46" t="s">
        <v>96</v>
      </c>
      <c r="L225" s="46">
        <v>12</v>
      </c>
      <c r="M225" s="2"/>
      <c r="N225" s="2"/>
      <c r="O225" s="2"/>
    </row>
    <row r="228" spans="2:15" ht="26.25" x14ac:dyDescent="0.25">
      <c r="B228" s="176" t="s">
        <v>107</v>
      </c>
      <c r="C228" s="177"/>
      <c r="D228" s="177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8"/>
    </row>
    <row r="230" spans="2:15" x14ac:dyDescent="0.25">
      <c r="B230" s="45" t="s">
        <v>59</v>
      </c>
      <c r="C230" s="45">
        <v>1</v>
      </c>
      <c r="D230" s="2"/>
      <c r="E230" s="45" t="s">
        <v>59</v>
      </c>
      <c r="F230" s="45">
        <v>2</v>
      </c>
      <c r="H230" s="45" t="s">
        <v>59</v>
      </c>
      <c r="I230" s="45">
        <v>3</v>
      </c>
      <c r="K230" s="46" t="s">
        <v>59</v>
      </c>
      <c r="L230" s="46">
        <v>1</v>
      </c>
      <c r="M230" s="2"/>
      <c r="N230" s="46" t="s">
        <v>59</v>
      </c>
      <c r="O230" s="46">
        <v>2</v>
      </c>
    </row>
    <row r="231" spans="2:15" x14ac:dyDescent="0.25">
      <c r="B231" s="45" t="s">
        <v>60</v>
      </c>
      <c r="C231" s="45">
        <v>3</v>
      </c>
      <c r="D231" s="2"/>
      <c r="E231" s="45" t="s">
        <v>60</v>
      </c>
      <c r="F231" s="45">
        <v>4</v>
      </c>
      <c r="H231" s="45" t="s">
        <v>60</v>
      </c>
      <c r="I231" s="45">
        <v>4</v>
      </c>
      <c r="K231" s="46" t="s">
        <v>60</v>
      </c>
      <c r="L231" s="46">
        <v>4</v>
      </c>
      <c r="M231" s="2"/>
      <c r="N231" s="46" t="s">
        <v>60</v>
      </c>
      <c r="O231" s="46">
        <v>1</v>
      </c>
    </row>
    <row r="232" spans="2:15" x14ac:dyDescent="0.25">
      <c r="B232" s="45" t="s">
        <v>84</v>
      </c>
      <c r="C232" s="45">
        <v>2</v>
      </c>
      <c r="D232" s="2"/>
      <c r="E232" s="45" t="s">
        <v>85</v>
      </c>
      <c r="F232" s="45">
        <v>1</v>
      </c>
      <c r="H232" s="45" t="s">
        <v>62</v>
      </c>
      <c r="I232" s="45">
        <v>5</v>
      </c>
      <c r="K232" s="46" t="s">
        <v>62</v>
      </c>
      <c r="L232" s="46">
        <v>5</v>
      </c>
      <c r="M232" s="2"/>
      <c r="N232" s="46" t="s">
        <v>62</v>
      </c>
      <c r="O232" s="46">
        <v>6</v>
      </c>
    </row>
    <row r="233" spans="2:15" x14ac:dyDescent="0.25">
      <c r="B233" s="45" t="s">
        <v>64</v>
      </c>
      <c r="C233" s="45">
        <v>6</v>
      </c>
      <c r="D233" s="2"/>
      <c r="E233" s="45" t="s">
        <v>64</v>
      </c>
      <c r="F233" s="45">
        <v>7</v>
      </c>
      <c r="H233" s="45" t="s">
        <v>64</v>
      </c>
      <c r="I233" s="45">
        <v>8</v>
      </c>
      <c r="K233" s="46" t="s">
        <v>64</v>
      </c>
      <c r="L233" s="46">
        <v>8</v>
      </c>
      <c r="M233" s="2"/>
      <c r="N233" s="46" t="s">
        <v>64</v>
      </c>
      <c r="O233" s="46">
        <v>5</v>
      </c>
    </row>
    <row r="234" spans="2:15" x14ac:dyDescent="0.25">
      <c r="B234" s="45" t="s">
        <v>66</v>
      </c>
      <c r="C234" s="45">
        <v>8</v>
      </c>
      <c r="D234" s="2"/>
      <c r="E234" s="45" t="s">
        <v>66</v>
      </c>
      <c r="F234" s="45">
        <v>6</v>
      </c>
      <c r="H234" s="45" t="s">
        <v>66</v>
      </c>
      <c r="I234" s="45">
        <v>7</v>
      </c>
      <c r="K234" s="46" t="s">
        <v>66</v>
      </c>
      <c r="L234" s="46">
        <v>9</v>
      </c>
      <c r="M234" s="2"/>
      <c r="N234" s="46" t="s">
        <v>66</v>
      </c>
      <c r="O234" s="46">
        <v>10</v>
      </c>
    </row>
    <row r="235" spans="2:15" x14ac:dyDescent="0.25">
      <c r="B235" s="45" t="s">
        <v>98</v>
      </c>
      <c r="C235" s="45">
        <v>5</v>
      </c>
      <c r="D235" s="2"/>
      <c r="E235" s="45" t="s">
        <v>67</v>
      </c>
      <c r="F235" s="45">
        <v>9</v>
      </c>
      <c r="H235" s="45" t="s">
        <v>67</v>
      </c>
      <c r="I235" s="45">
        <v>10</v>
      </c>
      <c r="K235" s="46" t="s">
        <v>67</v>
      </c>
      <c r="L235" s="46">
        <v>12</v>
      </c>
      <c r="M235" s="2"/>
      <c r="N235" s="46" t="s">
        <v>67</v>
      </c>
      <c r="O235" s="46">
        <v>9</v>
      </c>
    </row>
    <row r="236" spans="2:15" x14ac:dyDescent="0.25">
      <c r="B236" s="45" t="s">
        <v>68</v>
      </c>
      <c r="C236" s="45">
        <v>12</v>
      </c>
      <c r="D236" s="2"/>
      <c r="E236" s="45" t="s">
        <v>68</v>
      </c>
      <c r="F236" s="45">
        <v>12</v>
      </c>
      <c r="H236" s="45" t="s">
        <v>68</v>
      </c>
      <c r="I236" s="45">
        <v>11</v>
      </c>
    </row>
    <row r="237" spans="2:15" x14ac:dyDescent="0.25">
      <c r="B237" s="45" t="s">
        <v>69</v>
      </c>
      <c r="C237" s="45">
        <v>11</v>
      </c>
      <c r="D237" s="2"/>
      <c r="E237" s="45" t="s">
        <v>69</v>
      </c>
      <c r="F237" s="45">
        <v>10</v>
      </c>
      <c r="H237" s="45" t="s">
        <v>69</v>
      </c>
      <c r="I237" s="45">
        <v>9</v>
      </c>
    </row>
    <row r="239" spans="2:15" x14ac:dyDescent="0.25">
      <c r="K239" s="46" t="s">
        <v>59</v>
      </c>
      <c r="L239" s="46">
        <v>4</v>
      </c>
      <c r="M239" s="2"/>
      <c r="N239" s="46" t="s">
        <v>59</v>
      </c>
      <c r="O239" s="46">
        <v>3</v>
      </c>
    </row>
    <row r="240" spans="2:15" x14ac:dyDescent="0.25">
      <c r="K240" s="46" t="s">
        <v>60</v>
      </c>
      <c r="L240" s="46">
        <v>3</v>
      </c>
      <c r="M240" s="2"/>
      <c r="N240" s="46" t="s">
        <v>60</v>
      </c>
      <c r="O240" s="46">
        <v>2</v>
      </c>
    </row>
    <row r="241" spans="2:30" x14ac:dyDescent="0.25">
      <c r="K241" s="46" t="s">
        <v>62</v>
      </c>
      <c r="L241" s="46">
        <v>8</v>
      </c>
      <c r="M241" s="2"/>
      <c r="N241" s="46" t="s">
        <v>62</v>
      </c>
      <c r="O241" s="46">
        <v>7</v>
      </c>
    </row>
    <row r="242" spans="2:30" x14ac:dyDescent="0.25">
      <c r="K242" s="46" t="s">
        <v>64</v>
      </c>
      <c r="L242" s="46">
        <v>7</v>
      </c>
      <c r="M242" s="2"/>
      <c r="N242" s="46" t="s">
        <v>64</v>
      </c>
      <c r="O242" s="46">
        <v>6</v>
      </c>
    </row>
    <row r="243" spans="2:30" x14ac:dyDescent="0.25">
      <c r="K243" s="46" t="s">
        <v>66</v>
      </c>
      <c r="L243" s="46">
        <v>12</v>
      </c>
      <c r="M243" s="2"/>
      <c r="N243" s="46" t="s">
        <v>66</v>
      </c>
      <c r="O243" s="46">
        <v>11</v>
      </c>
    </row>
    <row r="244" spans="2:30" x14ac:dyDescent="0.25">
      <c r="K244" s="46" t="s">
        <v>67</v>
      </c>
      <c r="L244" s="46">
        <v>11</v>
      </c>
      <c r="M244" s="2"/>
      <c r="N244" s="46" t="s">
        <v>67</v>
      </c>
      <c r="O244" s="46">
        <v>10</v>
      </c>
    </row>
    <row r="246" spans="2:30" ht="26.25" x14ac:dyDescent="0.25">
      <c r="B246" s="179" t="s">
        <v>108</v>
      </c>
      <c r="C246" s="179"/>
      <c r="D246" s="179"/>
      <c r="E246" s="179"/>
      <c r="F246" s="179"/>
      <c r="G246" s="179"/>
      <c r="H246" s="179"/>
      <c r="I246" s="179"/>
      <c r="J246" s="179"/>
      <c r="K246" s="179"/>
      <c r="L246" s="179"/>
      <c r="M246" s="179"/>
      <c r="N246" s="179"/>
      <c r="O246" s="179"/>
      <c r="P246" s="179"/>
      <c r="Q246" s="179"/>
      <c r="R246" s="179"/>
      <c r="S246" s="179"/>
      <c r="T246" s="179"/>
      <c r="U246" s="179"/>
      <c r="V246" s="179"/>
      <c r="W246" s="179"/>
      <c r="X246" s="179"/>
      <c r="Y246" s="179"/>
      <c r="Z246" s="179"/>
      <c r="AA246" s="179"/>
      <c r="AB246" s="179"/>
      <c r="AC246" s="179"/>
      <c r="AD246" s="179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59</v>
      </c>
      <c r="C248" s="46">
        <v>1</v>
      </c>
      <c r="D248" s="2"/>
      <c r="E248" s="46" t="s">
        <v>59</v>
      </c>
      <c r="F248" s="46">
        <v>2</v>
      </c>
      <c r="H248" s="46" t="s">
        <v>59</v>
      </c>
      <c r="I248" s="46">
        <v>3</v>
      </c>
      <c r="J248" s="2"/>
      <c r="K248" s="46" t="s">
        <v>59</v>
      </c>
      <c r="L248" s="46">
        <v>4</v>
      </c>
      <c r="N248" s="58" t="s">
        <v>59</v>
      </c>
      <c r="O248" s="58">
        <v>1</v>
      </c>
      <c r="P248" s="2"/>
      <c r="Q248" s="58" t="s">
        <v>59</v>
      </c>
      <c r="R248" s="58">
        <v>2</v>
      </c>
      <c r="T248" s="58" t="s">
        <v>59</v>
      </c>
      <c r="U248" s="58">
        <v>3</v>
      </c>
      <c r="W248" s="61" t="s">
        <v>59</v>
      </c>
      <c r="X248" s="61">
        <v>1</v>
      </c>
      <c r="Y248" s="2"/>
      <c r="Z248" s="61" t="s">
        <v>59</v>
      </c>
      <c r="AA248" s="61">
        <v>2</v>
      </c>
      <c r="AC248" s="61" t="s">
        <v>59</v>
      </c>
      <c r="AD248" s="61">
        <v>3</v>
      </c>
    </row>
    <row r="249" spans="2:30" x14ac:dyDescent="0.25">
      <c r="B249" s="46" t="s">
        <v>60</v>
      </c>
      <c r="C249" s="46">
        <v>3</v>
      </c>
      <c r="D249" s="2"/>
      <c r="E249" s="46" t="s">
        <v>60</v>
      </c>
      <c r="F249" s="46">
        <v>4</v>
      </c>
      <c r="H249" s="46" t="s">
        <v>60</v>
      </c>
      <c r="I249" s="46">
        <v>2</v>
      </c>
      <c r="J249" s="2"/>
      <c r="K249" s="46" t="s">
        <v>60</v>
      </c>
      <c r="L249" s="46">
        <v>1</v>
      </c>
      <c r="N249" s="58" t="s">
        <v>101</v>
      </c>
      <c r="O249" s="58">
        <v>2</v>
      </c>
      <c r="P249" s="2"/>
      <c r="Q249" s="58" t="s">
        <v>101</v>
      </c>
      <c r="R249" s="58">
        <v>3</v>
      </c>
      <c r="T249" s="58" t="s">
        <v>60</v>
      </c>
      <c r="U249" s="58">
        <v>5</v>
      </c>
      <c r="W249" s="61" t="s">
        <v>60</v>
      </c>
      <c r="X249" s="61">
        <v>5</v>
      </c>
      <c r="Y249" s="2"/>
      <c r="Z249" s="61" t="s">
        <v>101</v>
      </c>
      <c r="AA249" s="61">
        <v>3</v>
      </c>
      <c r="AC249" s="61" t="s">
        <v>60</v>
      </c>
      <c r="AD249" s="61">
        <v>6</v>
      </c>
    </row>
    <row r="250" spans="2:30" x14ac:dyDescent="0.25">
      <c r="B250" s="46" t="s">
        <v>62</v>
      </c>
      <c r="C250" s="46">
        <v>5</v>
      </c>
      <c r="D250" s="2"/>
      <c r="E250" s="46" t="s">
        <v>62</v>
      </c>
      <c r="F250" s="46">
        <v>6</v>
      </c>
      <c r="H250" s="46" t="s">
        <v>62</v>
      </c>
      <c r="I250" s="46">
        <v>7</v>
      </c>
      <c r="J250" s="2"/>
      <c r="K250" s="46" t="s">
        <v>62</v>
      </c>
      <c r="L250" s="46">
        <v>8</v>
      </c>
      <c r="N250" s="58" t="s">
        <v>62</v>
      </c>
      <c r="O250" s="58">
        <v>7</v>
      </c>
      <c r="P250" s="2"/>
      <c r="Q250" s="58" t="s">
        <v>62</v>
      </c>
      <c r="R250" s="58">
        <v>8</v>
      </c>
      <c r="T250" s="58" t="s">
        <v>62</v>
      </c>
      <c r="U250" s="58">
        <v>6</v>
      </c>
      <c r="W250" s="61" t="s">
        <v>88</v>
      </c>
      <c r="X250" s="61">
        <v>6</v>
      </c>
      <c r="Y250" s="2"/>
      <c r="Z250" s="61" t="s">
        <v>88</v>
      </c>
      <c r="AA250" s="61">
        <v>5</v>
      </c>
      <c r="AC250" s="61" t="s">
        <v>62</v>
      </c>
      <c r="AD250" s="61">
        <v>9</v>
      </c>
    </row>
    <row r="251" spans="2:30" x14ac:dyDescent="0.25">
      <c r="B251" s="46" t="s">
        <v>64</v>
      </c>
      <c r="C251" s="46">
        <v>7</v>
      </c>
      <c r="D251" s="2"/>
      <c r="E251" s="46" t="s">
        <v>64</v>
      </c>
      <c r="F251" s="46">
        <v>8</v>
      </c>
      <c r="H251" s="46" t="s">
        <v>64</v>
      </c>
      <c r="I251" s="46">
        <v>6</v>
      </c>
      <c r="J251" s="2"/>
      <c r="K251" s="46" t="s">
        <v>64</v>
      </c>
      <c r="L251" s="46">
        <v>5</v>
      </c>
      <c r="N251" s="58" t="s">
        <v>64</v>
      </c>
      <c r="O251" s="58">
        <v>8</v>
      </c>
      <c r="P251" s="2"/>
      <c r="Q251" s="58" t="s">
        <v>64</v>
      </c>
      <c r="R251" s="58">
        <v>9</v>
      </c>
      <c r="T251" s="58" t="s">
        <v>64</v>
      </c>
      <c r="U251" s="58">
        <v>9</v>
      </c>
      <c r="W251" s="61" t="s">
        <v>64</v>
      </c>
      <c r="X251" s="61">
        <v>11</v>
      </c>
      <c r="Y251" s="2"/>
      <c r="Z251" s="61" t="s">
        <v>64</v>
      </c>
      <c r="AA251" s="61">
        <v>12</v>
      </c>
      <c r="AC251" s="61" t="s">
        <v>64</v>
      </c>
      <c r="AD251" s="61">
        <v>11</v>
      </c>
    </row>
    <row r="252" spans="2:30" x14ac:dyDescent="0.25">
      <c r="B252" s="46" t="s">
        <v>66</v>
      </c>
      <c r="C252" s="46">
        <v>9</v>
      </c>
      <c r="D252" s="2"/>
      <c r="E252" s="46" t="s">
        <v>66</v>
      </c>
      <c r="F252" s="46">
        <v>10</v>
      </c>
      <c r="H252" s="46" t="s">
        <v>66</v>
      </c>
      <c r="I252" s="46">
        <v>11</v>
      </c>
      <c r="J252" s="2"/>
      <c r="K252" s="46" t="s">
        <v>66</v>
      </c>
      <c r="L252" s="46">
        <v>12</v>
      </c>
      <c r="N252" s="58" t="s">
        <v>66</v>
      </c>
      <c r="O252" s="58">
        <v>11</v>
      </c>
      <c r="P252" s="2"/>
      <c r="Q252" s="58" t="s">
        <v>66</v>
      </c>
      <c r="R252" s="58">
        <v>12</v>
      </c>
      <c r="T252" s="58" t="s">
        <v>66</v>
      </c>
      <c r="U252" s="58">
        <v>1</v>
      </c>
      <c r="W252" s="61" t="s">
        <v>66</v>
      </c>
      <c r="X252" s="61">
        <v>12</v>
      </c>
    </row>
    <row r="253" spans="2:30" x14ac:dyDescent="0.25">
      <c r="B253" s="46" t="s">
        <v>67</v>
      </c>
      <c r="C253" s="46">
        <v>11</v>
      </c>
      <c r="D253" s="2"/>
      <c r="E253" s="46" t="s">
        <v>67</v>
      </c>
      <c r="F253" s="46">
        <v>12</v>
      </c>
      <c r="H253" s="46" t="s">
        <v>67</v>
      </c>
      <c r="I253" s="46">
        <v>10</v>
      </c>
      <c r="J253" s="2"/>
      <c r="K253" s="46" t="s">
        <v>67</v>
      </c>
      <c r="L253" s="46">
        <v>9</v>
      </c>
    </row>
    <row r="254" spans="2:30" x14ac:dyDescent="0.25">
      <c r="B254" s="46" t="s">
        <v>96</v>
      </c>
      <c r="C254" s="46">
        <v>13</v>
      </c>
      <c r="D254" s="2"/>
      <c r="E254" s="2"/>
      <c r="F254" s="2"/>
      <c r="H254" s="2"/>
      <c r="I254" s="2"/>
      <c r="J254" s="2"/>
      <c r="N254" s="58" t="s">
        <v>59</v>
      </c>
      <c r="O254" s="58">
        <v>4</v>
      </c>
      <c r="P254" s="2"/>
      <c r="Q254" s="58" t="s">
        <v>59</v>
      </c>
      <c r="R254" s="58">
        <v>1</v>
      </c>
      <c r="W254" s="61" t="s">
        <v>59</v>
      </c>
      <c r="X254" s="61">
        <v>4</v>
      </c>
      <c r="Y254" s="2"/>
      <c r="Z254" s="61" t="s">
        <v>59</v>
      </c>
      <c r="AA254" s="61">
        <v>1</v>
      </c>
      <c r="AC254" s="61" t="s">
        <v>59</v>
      </c>
      <c r="AD254" s="61">
        <v>2</v>
      </c>
    </row>
    <row r="255" spans="2:30" x14ac:dyDescent="0.25">
      <c r="N255" s="58" t="s">
        <v>60</v>
      </c>
      <c r="O255" s="58">
        <v>6</v>
      </c>
      <c r="P255" s="2"/>
      <c r="Q255" s="58" t="s">
        <v>101</v>
      </c>
      <c r="R255" s="58">
        <v>4</v>
      </c>
      <c r="W255" s="61" t="s">
        <v>60</v>
      </c>
      <c r="X255" s="61">
        <v>7</v>
      </c>
      <c r="Y255" s="2"/>
      <c r="Z255" s="61" t="s">
        <v>101</v>
      </c>
      <c r="AA255" s="61">
        <v>4</v>
      </c>
      <c r="AC255" s="61" t="s">
        <v>60</v>
      </c>
      <c r="AD255" s="61">
        <v>8</v>
      </c>
    </row>
    <row r="256" spans="2:30" x14ac:dyDescent="0.25">
      <c r="N256" s="58" t="s">
        <v>62</v>
      </c>
      <c r="O256" s="58">
        <v>5</v>
      </c>
      <c r="P256" s="2"/>
      <c r="Q256" s="58" t="s">
        <v>62</v>
      </c>
      <c r="R256" s="58">
        <v>7</v>
      </c>
      <c r="W256" s="61" t="s">
        <v>88</v>
      </c>
      <c r="X256" s="61">
        <v>8</v>
      </c>
      <c r="Y256" s="2"/>
      <c r="Z256" s="61" t="s">
        <v>88</v>
      </c>
      <c r="AA256" s="61">
        <v>7</v>
      </c>
      <c r="AC256" s="61" t="s">
        <v>62</v>
      </c>
      <c r="AD256" s="61">
        <v>10</v>
      </c>
    </row>
    <row r="257" spans="2:30" x14ac:dyDescent="0.25">
      <c r="N257" s="58" t="s">
        <v>64</v>
      </c>
      <c r="O257" s="58">
        <v>10</v>
      </c>
      <c r="P257" s="2"/>
      <c r="Q257" s="58" t="s">
        <v>64</v>
      </c>
      <c r="R257" s="58">
        <v>10</v>
      </c>
      <c r="W257" s="61" t="s">
        <v>64</v>
      </c>
      <c r="X257" s="61">
        <v>10</v>
      </c>
      <c r="Y257" s="2"/>
      <c r="Z257" s="61" t="s">
        <v>64</v>
      </c>
      <c r="AA257" s="61">
        <v>9</v>
      </c>
      <c r="AC257" s="61" t="s">
        <v>109</v>
      </c>
      <c r="AD257" s="61">
        <v>13</v>
      </c>
    </row>
    <row r="258" spans="2:30" x14ac:dyDescent="0.25">
      <c r="N258" s="58" t="s">
        <v>66</v>
      </c>
      <c r="O258" s="58">
        <v>12</v>
      </c>
      <c r="P258" s="2"/>
      <c r="Q258" s="58" t="s">
        <v>71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79" t="s">
        <v>110</v>
      </c>
      <c r="C261" s="179"/>
      <c r="D261" s="179"/>
      <c r="E261" s="179"/>
      <c r="F261" s="179"/>
      <c r="G261" s="179"/>
      <c r="H261" s="179"/>
      <c r="I261" s="179"/>
      <c r="J261" s="179"/>
      <c r="K261" s="179"/>
      <c r="L261" s="179"/>
      <c r="M261" s="179"/>
      <c r="N261" s="179"/>
      <c r="O261" s="179"/>
      <c r="P261" s="179"/>
      <c r="Q261" s="179"/>
      <c r="R261" s="179"/>
      <c r="S261" s="179"/>
      <c r="T261" s="179"/>
      <c r="U261" s="179"/>
      <c r="V261" s="179"/>
      <c r="W261" s="179"/>
      <c r="X261" s="179"/>
      <c r="Y261" s="179"/>
      <c r="Z261" s="179"/>
      <c r="AA261" s="179"/>
      <c r="AB261" s="179"/>
      <c r="AC261" s="179"/>
      <c r="AD261" s="179"/>
    </row>
    <row r="263" spans="2:30" x14ac:dyDescent="0.25">
      <c r="B263" s="46" t="s">
        <v>59</v>
      </c>
      <c r="C263" s="46">
        <v>1</v>
      </c>
      <c r="D263" s="2"/>
      <c r="E263" s="46" t="s">
        <v>59</v>
      </c>
      <c r="F263" s="46">
        <v>2</v>
      </c>
      <c r="H263" s="46" t="s">
        <v>59</v>
      </c>
      <c r="I263" s="46">
        <v>3</v>
      </c>
      <c r="J263" s="2"/>
      <c r="K263" s="46" t="s">
        <v>59</v>
      </c>
      <c r="L263" s="46">
        <v>4</v>
      </c>
      <c r="N263" s="58" t="s">
        <v>59</v>
      </c>
      <c r="O263" s="58">
        <v>1</v>
      </c>
      <c r="Q263" s="58" t="s">
        <v>59</v>
      </c>
      <c r="R263" s="58">
        <v>2</v>
      </c>
      <c r="T263" s="58" t="s">
        <v>59</v>
      </c>
      <c r="U263" s="58">
        <v>3</v>
      </c>
      <c r="W263" s="61" t="s">
        <v>59</v>
      </c>
      <c r="X263" s="61">
        <v>1</v>
      </c>
      <c r="Y263" s="2"/>
      <c r="Z263" s="61" t="s">
        <v>59</v>
      </c>
      <c r="AA263" s="61">
        <v>2</v>
      </c>
      <c r="AC263" s="61" t="s">
        <v>59</v>
      </c>
      <c r="AD263" s="61">
        <v>3</v>
      </c>
    </row>
    <row r="264" spans="2:30" x14ac:dyDescent="0.25">
      <c r="B264" s="46" t="s">
        <v>60</v>
      </c>
      <c r="C264" s="46">
        <v>3</v>
      </c>
      <c r="D264" s="2"/>
      <c r="E264" s="46" t="s">
        <v>60</v>
      </c>
      <c r="F264" s="46">
        <v>4</v>
      </c>
      <c r="H264" s="46" t="s">
        <v>60</v>
      </c>
      <c r="I264" s="46">
        <v>2</v>
      </c>
      <c r="J264" s="2"/>
      <c r="K264" s="46" t="s">
        <v>60</v>
      </c>
      <c r="L264" s="46">
        <v>1</v>
      </c>
      <c r="N264" s="58" t="s">
        <v>60</v>
      </c>
      <c r="O264" s="58">
        <v>2</v>
      </c>
      <c r="Q264" s="58" t="s">
        <v>60</v>
      </c>
      <c r="R264" s="58">
        <v>3</v>
      </c>
      <c r="T264" s="58" t="s">
        <v>60</v>
      </c>
      <c r="U264" s="58">
        <v>5</v>
      </c>
      <c r="W264" s="61" t="s">
        <v>60</v>
      </c>
      <c r="X264" s="61">
        <v>5</v>
      </c>
      <c r="Y264" s="2"/>
      <c r="Z264" s="61" t="s">
        <v>60</v>
      </c>
      <c r="AA264" s="61">
        <v>3</v>
      </c>
      <c r="AC264" s="61" t="s">
        <v>60</v>
      </c>
      <c r="AD264" s="61">
        <v>6</v>
      </c>
    </row>
    <row r="265" spans="2:30" x14ac:dyDescent="0.25">
      <c r="B265" s="46" t="s">
        <v>62</v>
      </c>
      <c r="C265" s="46">
        <v>5</v>
      </c>
      <c r="D265" s="2"/>
      <c r="E265" s="46" t="s">
        <v>62</v>
      </c>
      <c r="F265" s="46">
        <v>6</v>
      </c>
      <c r="H265" s="46" t="s">
        <v>62</v>
      </c>
      <c r="I265" s="46">
        <v>7</v>
      </c>
      <c r="J265" s="2"/>
      <c r="K265" s="46" t="s">
        <v>62</v>
      </c>
      <c r="L265" s="46">
        <v>8</v>
      </c>
      <c r="N265" s="58" t="s">
        <v>62</v>
      </c>
      <c r="O265" s="58">
        <v>7</v>
      </c>
      <c r="Q265" s="58" t="s">
        <v>62</v>
      </c>
      <c r="R265" s="58">
        <v>8</v>
      </c>
      <c r="T265" s="58" t="s">
        <v>62</v>
      </c>
      <c r="U265" s="58">
        <v>6</v>
      </c>
      <c r="W265" s="61" t="s">
        <v>62</v>
      </c>
      <c r="X265" s="61">
        <v>6</v>
      </c>
      <c r="Y265" s="2"/>
      <c r="Z265" s="61" t="s">
        <v>62</v>
      </c>
      <c r="AA265" s="61">
        <v>5</v>
      </c>
      <c r="AC265" s="61" t="s">
        <v>62</v>
      </c>
      <c r="AD265" s="61">
        <v>9</v>
      </c>
    </row>
    <row r="266" spans="2:30" x14ac:dyDescent="0.25">
      <c r="B266" s="46" t="s">
        <v>64</v>
      </c>
      <c r="C266" s="46">
        <v>7</v>
      </c>
      <c r="D266" s="2"/>
      <c r="E266" s="46" t="s">
        <v>64</v>
      </c>
      <c r="F266" s="46">
        <v>8</v>
      </c>
      <c r="H266" s="46" t="s">
        <v>64</v>
      </c>
      <c r="I266" s="46">
        <v>6</v>
      </c>
      <c r="J266" s="2"/>
      <c r="K266" s="46" t="s">
        <v>64</v>
      </c>
      <c r="L266" s="46">
        <v>5</v>
      </c>
      <c r="N266" s="58" t="s">
        <v>64</v>
      </c>
      <c r="O266" s="58">
        <v>8</v>
      </c>
      <c r="Q266" s="58" t="s">
        <v>64</v>
      </c>
      <c r="R266" s="58">
        <v>9</v>
      </c>
      <c r="T266" s="58" t="s">
        <v>64</v>
      </c>
      <c r="U266" s="58">
        <v>9</v>
      </c>
      <c r="W266" s="61" t="s">
        <v>64</v>
      </c>
      <c r="X266" s="61">
        <v>11</v>
      </c>
      <c r="Y266" s="2"/>
      <c r="Z266" s="61" t="s">
        <v>64</v>
      </c>
      <c r="AA266" s="61">
        <v>12</v>
      </c>
      <c r="AC266" s="61" t="s">
        <v>64</v>
      </c>
      <c r="AD266" s="61">
        <v>11</v>
      </c>
    </row>
    <row r="267" spans="2:30" x14ac:dyDescent="0.25">
      <c r="B267" s="46" t="s">
        <v>66</v>
      </c>
      <c r="C267" s="46">
        <v>9</v>
      </c>
      <c r="D267" s="2"/>
      <c r="E267" s="46" t="s">
        <v>66</v>
      </c>
      <c r="F267" s="46">
        <v>10</v>
      </c>
      <c r="H267" s="46" t="s">
        <v>66</v>
      </c>
      <c r="I267" s="46">
        <v>11</v>
      </c>
      <c r="J267" s="2"/>
      <c r="K267" s="46" t="s">
        <v>66</v>
      </c>
      <c r="L267" s="46">
        <v>12</v>
      </c>
      <c r="N267" s="58" t="s">
        <v>66</v>
      </c>
      <c r="O267" s="58">
        <v>11</v>
      </c>
      <c r="Q267" s="58" t="s">
        <v>66</v>
      </c>
      <c r="R267" s="58">
        <v>12</v>
      </c>
      <c r="T267" s="58" t="s">
        <v>66</v>
      </c>
      <c r="U267" s="58">
        <v>1</v>
      </c>
      <c r="W267" s="61" t="s">
        <v>66</v>
      </c>
      <c r="X267" s="61">
        <v>12</v>
      </c>
      <c r="Z267" s="61" t="s">
        <v>66</v>
      </c>
      <c r="AA267" s="61">
        <v>13</v>
      </c>
    </row>
    <row r="268" spans="2:30" x14ac:dyDescent="0.25">
      <c r="B268" s="46" t="s">
        <v>67</v>
      </c>
      <c r="C268" s="46">
        <v>11</v>
      </c>
      <c r="D268" s="2"/>
      <c r="E268" s="46" t="s">
        <v>67</v>
      </c>
      <c r="F268" s="46">
        <v>12</v>
      </c>
      <c r="H268" s="46" t="s">
        <v>67</v>
      </c>
      <c r="I268" s="46">
        <v>10</v>
      </c>
      <c r="J268" s="2"/>
      <c r="K268" s="46" t="s">
        <v>67</v>
      </c>
      <c r="L268" s="46">
        <v>9</v>
      </c>
      <c r="N268" s="58" t="s">
        <v>67</v>
      </c>
      <c r="O268" s="58">
        <v>13</v>
      </c>
    </row>
    <row r="269" spans="2:30" x14ac:dyDescent="0.25">
      <c r="B269" s="46" t="s">
        <v>68</v>
      </c>
      <c r="C269" s="46">
        <v>13</v>
      </c>
      <c r="D269" s="2"/>
      <c r="E269" s="46" t="s">
        <v>68</v>
      </c>
      <c r="F269" s="46">
        <v>13</v>
      </c>
      <c r="H269" s="2"/>
      <c r="I269" s="2"/>
      <c r="J269" s="2"/>
      <c r="W269" s="61" t="s">
        <v>59</v>
      </c>
      <c r="X269" s="61">
        <v>4</v>
      </c>
      <c r="Y269" s="2"/>
      <c r="Z269" s="61" t="s">
        <v>59</v>
      </c>
      <c r="AA269" s="61">
        <v>1</v>
      </c>
      <c r="AC269" s="61" t="s">
        <v>59</v>
      </c>
      <c r="AD269" s="61">
        <v>2</v>
      </c>
    </row>
    <row r="270" spans="2:30" x14ac:dyDescent="0.25">
      <c r="W270" s="61" t="s">
        <v>60</v>
      </c>
      <c r="X270" s="61">
        <v>7</v>
      </c>
      <c r="Y270" s="2"/>
      <c r="Z270" s="61" t="s">
        <v>60</v>
      </c>
      <c r="AA270" s="61">
        <v>4</v>
      </c>
      <c r="AC270" s="61" t="s">
        <v>60</v>
      </c>
      <c r="AD270" s="61">
        <v>8</v>
      </c>
    </row>
    <row r="271" spans="2:30" x14ac:dyDescent="0.25">
      <c r="N271" s="58" t="s">
        <v>59</v>
      </c>
      <c r="O271" s="58">
        <v>4</v>
      </c>
      <c r="P271" s="2"/>
      <c r="Q271" s="58" t="s">
        <v>59</v>
      </c>
      <c r="R271" s="58">
        <v>1</v>
      </c>
      <c r="W271" s="61" t="s">
        <v>62</v>
      </c>
      <c r="X271" s="61">
        <v>8</v>
      </c>
      <c r="Y271" s="2"/>
      <c r="Z271" s="61" t="s">
        <v>62</v>
      </c>
      <c r="AA271" s="61">
        <v>7</v>
      </c>
      <c r="AC271" s="61" t="s">
        <v>62</v>
      </c>
      <c r="AD271" s="61">
        <v>10</v>
      </c>
    </row>
    <row r="272" spans="2:30" x14ac:dyDescent="0.25">
      <c r="N272" s="58" t="s">
        <v>60</v>
      </c>
      <c r="O272" s="58">
        <v>6</v>
      </c>
      <c r="P272" s="2"/>
      <c r="Q272" s="58" t="s">
        <v>60</v>
      </c>
      <c r="R272" s="58">
        <v>4</v>
      </c>
      <c r="W272" s="61" t="s">
        <v>64</v>
      </c>
      <c r="X272" s="61">
        <v>10</v>
      </c>
      <c r="Y272" s="2"/>
      <c r="Z272" s="61" t="s">
        <v>64</v>
      </c>
      <c r="AA272" s="61">
        <v>9</v>
      </c>
      <c r="AC272" s="61" t="s">
        <v>64</v>
      </c>
      <c r="AD272" s="61">
        <v>13</v>
      </c>
    </row>
    <row r="273" spans="2:30" x14ac:dyDescent="0.25">
      <c r="N273" s="58" t="s">
        <v>62</v>
      </c>
      <c r="O273" s="58">
        <v>5</v>
      </c>
      <c r="P273" s="2"/>
      <c r="Q273" s="58" t="s">
        <v>62</v>
      </c>
      <c r="R273" s="58">
        <v>7</v>
      </c>
    </row>
    <row r="274" spans="2:30" x14ac:dyDescent="0.25">
      <c r="N274" s="58" t="s">
        <v>64</v>
      </c>
      <c r="O274" s="58">
        <v>10</v>
      </c>
      <c r="P274" s="2"/>
      <c r="Q274" s="58" t="s">
        <v>64</v>
      </c>
      <c r="R274" s="58">
        <v>10</v>
      </c>
    </row>
    <row r="275" spans="2:30" x14ac:dyDescent="0.25">
      <c r="N275" s="58" t="s">
        <v>66</v>
      </c>
      <c r="O275" s="58">
        <v>12</v>
      </c>
      <c r="P275" s="2"/>
      <c r="Q275" s="58" t="s">
        <v>66</v>
      </c>
      <c r="R275" s="58">
        <v>13</v>
      </c>
    </row>
    <row r="277" spans="2:30" ht="26.25" x14ac:dyDescent="0.25">
      <c r="B277" s="179" t="s">
        <v>111</v>
      </c>
      <c r="C277" s="179"/>
      <c r="D277" s="179"/>
      <c r="E277" s="179"/>
      <c r="F277" s="179"/>
      <c r="G277" s="179"/>
      <c r="H277" s="179"/>
      <c r="I277" s="179"/>
      <c r="J277" s="179"/>
      <c r="K277" s="179"/>
      <c r="L277" s="179"/>
      <c r="M277" s="179"/>
      <c r="N277" s="179"/>
      <c r="O277" s="179"/>
      <c r="P277" s="179"/>
      <c r="Q277" s="179"/>
      <c r="R277" s="179"/>
      <c r="S277" s="179"/>
      <c r="T277" s="179"/>
      <c r="U277" s="179"/>
      <c r="V277" s="179"/>
      <c r="W277" s="179"/>
      <c r="X277" s="179"/>
      <c r="Y277" s="179"/>
      <c r="Z277" s="179"/>
      <c r="AA277" s="179"/>
      <c r="AB277" s="179"/>
      <c r="AC277" s="179"/>
      <c r="AD277" s="179"/>
    </row>
    <row r="279" spans="2:30" x14ac:dyDescent="0.25">
      <c r="B279" s="46" t="s">
        <v>59</v>
      </c>
      <c r="C279" s="46">
        <v>1</v>
      </c>
      <c r="D279" s="2"/>
      <c r="E279" s="46" t="s">
        <v>59</v>
      </c>
      <c r="F279" s="46">
        <v>2</v>
      </c>
      <c r="H279" s="46" t="s">
        <v>59</v>
      </c>
      <c r="I279" s="46">
        <v>3</v>
      </c>
      <c r="J279" s="2"/>
      <c r="K279" s="46" t="s">
        <v>59</v>
      </c>
      <c r="L279" s="46">
        <v>4</v>
      </c>
      <c r="N279" s="58" t="s">
        <v>59</v>
      </c>
      <c r="O279" s="58">
        <v>1</v>
      </c>
      <c r="P279" s="2"/>
      <c r="Q279" s="58" t="s">
        <v>59</v>
      </c>
      <c r="R279" s="58">
        <v>2</v>
      </c>
      <c r="T279" s="58" t="s">
        <v>59</v>
      </c>
      <c r="U279" s="58">
        <v>3</v>
      </c>
      <c r="W279" s="61" t="s">
        <v>59</v>
      </c>
      <c r="X279" s="61">
        <v>1</v>
      </c>
      <c r="Y279" s="2"/>
      <c r="Z279" s="61" t="s">
        <v>59</v>
      </c>
      <c r="AA279" s="61">
        <v>2</v>
      </c>
      <c r="AC279" s="61" t="s">
        <v>59</v>
      </c>
      <c r="AD279" s="61">
        <v>3</v>
      </c>
    </row>
    <row r="280" spans="2:30" x14ac:dyDescent="0.25">
      <c r="B280" s="46" t="s">
        <v>60</v>
      </c>
      <c r="C280" s="46">
        <v>4</v>
      </c>
      <c r="D280" s="2"/>
      <c r="E280" s="46" t="s">
        <v>60</v>
      </c>
      <c r="F280" s="46">
        <v>1</v>
      </c>
      <c r="H280" s="46" t="s">
        <v>60</v>
      </c>
      <c r="I280" s="46">
        <v>2</v>
      </c>
      <c r="J280" s="2"/>
      <c r="K280" s="46" t="s">
        <v>60</v>
      </c>
      <c r="L280" s="46">
        <v>3</v>
      </c>
      <c r="N280" s="58" t="s">
        <v>60</v>
      </c>
      <c r="O280" s="58">
        <v>2</v>
      </c>
      <c r="P280" s="2"/>
      <c r="Q280" s="58" t="s">
        <v>60</v>
      </c>
      <c r="R280" s="58">
        <v>3</v>
      </c>
      <c r="T280" s="58" t="s">
        <v>60</v>
      </c>
      <c r="U280" s="58">
        <v>5</v>
      </c>
      <c r="W280" s="61" t="s">
        <v>60</v>
      </c>
      <c r="X280" s="61">
        <v>5</v>
      </c>
      <c r="Y280" s="2"/>
      <c r="Z280" s="61" t="s">
        <v>60</v>
      </c>
      <c r="AA280" s="61">
        <v>3</v>
      </c>
      <c r="AC280" s="61" t="s">
        <v>60</v>
      </c>
      <c r="AD280" s="61">
        <v>6</v>
      </c>
    </row>
    <row r="281" spans="2:30" x14ac:dyDescent="0.25">
      <c r="B281" s="46" t="s">
        <v>62</v>
      </c>
      <c r="C281" s="46">
        <v>5</v>
      </c>
      <c r="D281" s="2"/>
      <c r="E281" s="46" t="s">
        <v>62</v>
      </c>
      <c r="F281" s="46">
        <v>6</v>
      </c>
      <c r="H281" s="46" t="s">
        <v>62</v>
      </c>
      <c r="I281" s="46">
        <v>7</v>
      </c>
      <c r="J281" s="2"/>
      <c r="K281" s="46" t="s">
        <v>62</v>
      </c>
      <c r="L281" s="46">
        <v>8</v>
      </c>
      <c r="N281" s="58" t="s">
        <v>62</v>
      </c>
      <c r="O281" s="58">
        <v>7</v>
      </c>
      <c r="P281" s="2"/>
      <c r="Q281" s="58" t="s">
        <v>62</v>
      </c>
      <c r="R281" s="58">
        <v>8</v>
      </c>
      <c r="T281" s="58" t="s">
        <v>62</v>
      </c>
      <c r="U281" s="58">
        <v>6</v>
      </c>
      <c r="W281" s="61" t="s">
        <v>62</v>
      </c>
      <c r="X281" s="61">
        <v>6</v>
      </c>
      <c r="Y281" s="2"/>
      <c r="Z281" s="61" t="s">
        <v>62</v>
      </c>
      <c r="AA281" s="61">
        <v>5</v>
      </c>
      <c r="AC281" s="61" t="s">
        <v>62</v>
      </c>
      <c r="AD281" s="61">
        <v>9</v>
      </c>
    </row>
    <row r="282" spans="2:30" x14ac:dyDescent="0.25">
      <c r="B282" s="46" t="s">
        <v>64</v>
      </c>
      <c r="C282" s="46">
        <v>8</v>
      </c>
      <c r="D282" s="2"/>
      <c r="E282" s="46" t="s">
        <v>64</v>
      </c>
      <c r="F282" s="46">
        <v>5</v>
      </c>
      <c r="H282" s="46" t="s">
        <v>64</v>
      </c>
      <c r="I282" s="46">
        <v>6</v>
      </c>
      <c r="J282" s="2"/>
      <c r="K282" s="46" t="s">
        <v>64</v>
      </c>
      <c r="L282" s="46">
        <v>7</v>
      </c>
      <c r="N282" s="58" t="s">
        <v>64</v>
      </c>
      <c r="O282" s="58">
        <v>8</v>
      </c>
      <c r="P282" s="2"/>
      <c r="Q282" s="58" t="s">
        <v>64</v>
      </c>
      <c r="R282" s="58">
        <v>9</v>
      </c>
      <c r="T282" s="58" t="s">
        <v>64</v>
      </c>
      <c r="U282" s="58">
        <v>9</v>
      </c>
      <c r="W282" s="61" t="s">
        <v>64</v>
      </c>
      <c r="X282" s="61">
        <v>11</v>
      </c>
      <c r="Y282" s="2"/>
      <c r="Z282" s="61" t="s">
        <v>64</v>
      </c>
      <c r="AA282" s="61">
        <v>12</v>
      </c>
      <c r="AC282" s="61" t="s">
        <v>64</v>
      </c>
      <c r="AD282" s="61">
        <v>11</v>
      </c>
    </row>
    <row r="283" spans="2:30" x14ac:dyDescent="0.25">
      <c r="B283" s="46" t="s">
        <v>66</v>
      </c>
      <c r="C283" s="46">
        <v>9</v>
      </c>
      <c r="D283" s="2"/>
      <c r="E283" s="46" t="s">
        <v>66</v>
      </c>
      <c r="F283" s="46">
        <v>10</v>
      </c>
      <c r="H283" s="46" t="s">
        <v>66</v>
      </c>
      <c r="I283" s="46">
        <v>11</v>
      </c>
      <c r="J283" s="2"/>
      <c r="K283" s="46" t="s">
        <v>66</v>
      </c>
      <c r="L283" s="46">
        <v>12</v>
      </c>
      <c r="N283" s="58" t="s">
        <v>66</v>
      </c>
      <c r="O283" s="58">
        <v>11</v>
      </c>
      <c r="P283" s="2"/>
      <c r="Q283" s="58" t="s">
        <v>66</v>
      </c>
      <c r="R283" s="58">
        <v>12</v>
      </c>
      <c r="T283" s="58" t="s">
        <v>66</v>
      </c>
      <c r="U283" s="58">
        <v>11</v>
      </c>
      <c r="W283" s="61" t="s">
        <v>66</v>
      </c>
      <c r="X283" s="61">
        <v>12</v>
      </c>
      <c r="Y283" s="2"/>
      <c r="Z283" s="61" t="s">
        <v>66</v>
      </c>
      <c r="AA283" s="61">
        <v>13</v>
      </c>
      <c r="AC283" s="61" t="s">
        <v>71</v>
      </c>
      <c r="AD283" s="61">
        <v>14</v>
      </c>
    </row>
    <row r="284" spans="2:30" x14ac:dyDescent="0.25">
      <c r="B284" s="46" t="s">
        <v>67</v>
      </c>
      <c r="C284" s="46">
        <v>12</v>
      </c>
      <c r="D284" s="2"/>
      <c r="E284" s="46" t="s">
        <v>67</v>
      </c>
      <c r="F284" s="46">
        <v>9</v>
      </c>
      <c r="H284" s="46" t="s">
        <v>67</v>
      </c>
      <c r="I284" s="46">
        <v>10</v>
      </c>
      <c r="J284" s="2"/>
      <c r="K284" s="46" t="s">
        <v>67</v>
      </c>
      <c r="L284" s="46">
        <v>11</v>
      </c>
      <c r="N284" s="58" t="s">
        <v>67</v>
      </c>
      <c r="O284" s="58">
        <v>12</v>
      </c>
      <c r="P284" s="2"/>
      <c r="Q284" s="58" t="s">
        <v>67</v>
      </c>
      <c r="R284" s="58">
        <v>13</v>
      </c>
    </row>
    <row r="285" spans="2:30" x14ac:dyDescent="0.25">
      <c r="B285" s="46" t="s">
        <v>68</v>
      </c>
      <c r="C285" s="46">
        <v>13</v>
      </c>
      <c r="D285" s="2"/>
      <c r="E285" s="46" t="s">
        <v>96</v>
      </c>
      <c r="F285" s="46">
        <v>14</v>
      </c>
      <c r="H285" s="46" t="s">
        <v>68</v>
      </c>
      <c r="I285" s="46">
        <v>13</v>
      </c>
      <c r="J285" s="2"/>
      <c r="K285" s="2"/>
      <c r="L285" s="2"/>
    </row>
    <row r="287" spans="2:30" x14ac:dyDescent="0.25">
      <c r="N287" s="58" t="s">
        <v>59</v>
      </c>
      <c r="O287" s="58">
        <v>4</v>
      </c>
      <c r="P287" s="2"/>
      <c r="Q287" s="58" t="s">
        <v>59</v>
      </c>
      <c r="R287" s="58">
        <v>1</v>
      </c>
      <c r="W287" s="61" t="s">
        <v>59</v>
      </c>
      <c r="X287" s="61">
        <v>4</v>
      </c>
      <c r="Y287" s="2"/>
      <c r="Z287" s="61" t="s">
        <v>59</v>
      </c>
      <c r="AA287" s="61">
        <v>1</v>
      </c>
      <c r="AC287" s="61" t="s">
        <v>59</v>
      </c>
      <c r="AD287" s="61">
        <v>2</v>
      </c>
    </row>
    <row r="288" spans="2:30" x14ac:dyDescent="0.25">
      <c r="N288" s="58" t="s">
        <v>60</v>
      </c>
      <c r="O288" s="58">
        <v>6</v>
      </c>
      <c r="P288" s="2"/>
      <c r="Q288" s="58" t="s">
        <v>60</v>
      </c>
      <c r="R288" s="58">
        <v>4</v>
      </c>
      <c r="W288" s="61" t="s">
        <v>60</v>
      </c>
      <c r="X288" s="61">
        <v>7</v>
      </c>
      <c r="Y288" s="2"/>
      <c r="Z288" s="61" t="s">
        <v>60</v>
      </c>
      <c r="AA288" s="61">
        <v>4</v>
      </c>
      <c r="AC288" s="61" t="s">
        <v>60</v>
      </c>
      <c r="AD288" s="61">
        <v>8</v>
      </c>
    </row>
    <row r="289" spans="2:30" x14ac:dyDescent="0.25">
      <c r="N289" s="58" t="s">
        <v>62</v>
      </c>
      <c r="O289" s="58">
        <v>5</v>
      </c>
      <c r="P289" s="2"/>
      <c r="Q289" s="58" t="s">
        <v>62</v>
      </c>
      <c r="R289" s="58">
        <v>7</v>
      </c>
      <c r="W289" s="61" t="s">
        <v>62</v>
      </c>
      <c r="X289" s="61">
        <v>8</v>
      </c>
      <c r="Y289" s="2"/>
      <c r="Z289" s="61" t="s">
        <v>62</v>
      </c>
      <c r="AA289" s="61">
        <v>7</v>
      </c>
      <c r="AC289" s="61" t="s">
        <v>62</v>
      </c>
      <c r="AD289" s="61">
        <v>10</v>
      </c>
    </row>
    <row r="290" spans="2:30" x14ac:dyDescent="0.25">
      <c r="N290" s="58" t="s">
        <v>64</v>
      </c>
      <c r="O290" s="58">
        <v>10</v>
      </c>
      <c r="P290" s="2"/>
      <c r="Q290" s="58" t="s">
        <v>64</v>
      </c>
      <c r="R290" s="58">
        <v>10</v>
      </c>
      <c r="W290" s="61" t="s">
        <v>64</v>
      </c>
      <c r="X290" s="61">
        <v>10</v>
      </c>
      <c r="Y290" s="2"/>
      <c r="Z290" s="61" t="s">
        <v>64</v>
      </c>
      <c r="AA290" s="61">
        <v>9</v>
      </c>
      <c r="AC290" s="61" t="s">
        <v>64</v>
      </c>
      <c r="AD290" s="61">
        <v>13</v>
      </c>
    </row>
    <row r="291" spans="2:30" x14ac:dyDescent="0.25">
      <c r="N291" s="58" t="s">
        <v>66</v>
      </c>
      <c r="O291" s="58">
        <v>13</v>
      </c>
      <c r="P291" s="2"/>
      <c r="Q291" s="58" t="s">
        <v>71</v>
      </c>
      <c r="R291" s="58">
        <v>14</v>
      </c>
    </row>
    <row r="294" spans="2:30" ht="26.25" x14ac:dyDescent="0.25">
      <c r="B294" s="179" t="s">
        <v>112</v>
      </c>
      <c r="C294" s="179"/>
      <c r="D294" s="179"/>
      <c r="E294" s="179"/>
      <c r="F294" s="179"/>
      <c r="G294" s="179"/>
      <c r="H294" s="179"/>
      <c r="I294" s="179"/>
      <c r="J294" s="179"/>
      <c r="K294" s="179"/>
      <c r="L294" s="179"/>
      <c r="M294" s="179"/>
      <c r="N294" s="179"/>
      <c r="O294" s="179"/>
      <c r="P294" s="179"/>
      <c r="Q294" s="179"/>
      <c r="R294" s="179"/>
      <c r="S294" s="179"/>
      <c r="T294" s="179"/>
      <c r="U294" s="179"/>
      <c r="V294" s="179"/>
      <c r="W294" s="179"/>
      <c r="X294" s="179"/>
      <c r="Y294" s="179"/>
      <c r="Z294" s="179"/>
      <c r="AA294" s="179"/>
      <c r="AB294" s="179"/>
      <c r="AC294" s="179"/>
      <c r="AD294" s="179"/>
    </row>
    <row r="296" spans="2:30" x14ac:dyDescent="0.25">
      <c r="B296" s="46" t="s">
        <v>59</v>
      </c>
      <c r="C296" s="46">
        <v>1</v>
      </c>
      <c r="D296" s="2"/>
      <c r="E296" s="46" t="s">
        <v>59</v>
      </c>
      <c r="F296" s="46">
        <v>2</v>
      </c>
      <c r="H296" s="46" t="s">
        <v>59</v>
      </c>
      <c r="I296" s="46">
        <v>3</v>
      </c>
      <c r="J296" s="2"/>
      <c r="K296" s="46" t="s">
        <v>59</v>
      </c>
      <c r="L296" s="46">
        <v>4</v>
      </c>
      <c r="N296" s="58" t="s">
        <v>59</v>
      </c>
      <c r="O296" s="58">
        <v>1</v>
      </c>
      <c r="P296" s="2"/>
      <c r="Q296" s="58" t="s">
        <v>59</v>
      </c>
      <c r="R296" s="58">
        <v>2</v>
      </c>
      <c r="T296" s="58" t="s">
        <v>59</v>
      </c>
      <c r="U296" s="58">
        <v>3</v>
      </c>
      <c r="W296" s="61" t="s">
        <v>59</v>
      </c>
      <c r="X296" s="61">
        <v>1</v>
      </c>
      <c r="Y296" s="2"/>
      <c r="Z296" s="61" t="s">
        <v>59</v>
      </c>
      <c r="AA296" s="61">
        <v>2</v>
      </c>
      <c r="AC296" s="61" t="s">
        <v>59</v>
      </c>
      <c r="AD296" s="61">
        <v>3</v>
      </c>
    </row>
    <row r="297" spans="2:30" x14ac:dyDescent="0.25">
      <c r="B297" s="46" t="s">
        <v>60</v>
      </c>
      <c r="C297" s="46">
        <v>4</v>
      </c>
      <c r="D297" s="2"/>
      <c r="E297" s="46" t="s">
        <v>60</v>
      </c>
      <c r="F297" s="46">
        <v>1</v>
      </c>
      <c r="H297" s="46" t="s">
        <v>60</v>
      </c>
      <c r="I297" s="46">
        <v>2</v>
      </c>
      <c r="J297" s="2"/>
      <c r="K297" s="46" t="s">
        <v>60</v>
      </c>
      <c r="L297" s="46">
        <v>3</v>
      </c>
      <c r="N297" s="58" t="s">
        <v>60</v>
      </c>
      <c r="O297" s="58">
        <v>2</v>
      </c>
      <c r="P297" s="2"/>
      <c r="Q297" s="58" t="s">
        <v>60</v>
      </c>
      <c r="R297" s="58">
        <v>3</v>
      </c>
      <c r="T297" s="58" t="s">
        <v>60</v>
      </c>
      <c r="U297" s="58">
        <v>5</v>
      </c>
      <c r="W297" s="61" t="s">
        <v>60</v>
      </c>
      <c r="X297" s="61">
        <v>5</v>
      </c>
      <c r="Y297" s="2"/>
      <c r="Z297" s="61" t="s">
        <v>60</v>
      </c>
      <c r="AA297" s="61">
        <v>3</v>
      </c>
      <c r="AC297" s="61" t="s">
        <v>60</v>
      </c>
      <c r="AD297" s="61">
        <v>6</v>
      </c>
    </row>
    <row r="298" spans="2:30" x14ac:dyDescent="0.25">
      <c r="B298" s="46" t="s">
        <v>62</v>
      </c>
      <c r="C298" s="46">
        <v>5</v>
      </c>
      <c r="D298" s="2"/>
      <c r="E298" s="46" t="s">
        <v>62</v>
      </c>
      <c r="F298" s="46">
        <v>6</v>
      </c>
      <c r="H298" s="46" t="s">
        <v>62</v>
      </c>
      <c r="I298" s="46">
        <v>7</v>
      </c>
      <c r="J298" s="2"/>
      <c r="K298" s="46" t="s">
        <v>62</v>
      </c>
      <c r="L298" s="46">
        <v>8</v>
      </c>
      <c r="N298" s="58" t="s">
        <v>62</v>
      </c>
      <c r="O298" s="58">
        <v>7</v>
      </c>
      <c r="P298" s="2"/>
      <c r="Q298" s="58" t="s">
        <v>62</v>
      </c>
      <c r="R298" s="58">
        <v>8</v>
      </c>
      <c r="T298" s="58" t="s">
        <v>62</v>
      </c>
      <c r="U298" s="58">
        <v>6</v>
      </c>
      <c r="W298" s="61" t="s">
        <v>62</v>
      </c>
      <c r="X298" s="61">
        <v>6</v>
      </c>
      <c r="Y298" s="2"/>
      <c r="Z298" s="61" t="s">
        <v>62</v>
      </c>
      <c r="AA298" s="61">
        <v>5</v>
      </c>
      <c r="AC298" s="61" t="s">
        <v>62</v>
      </c>
      <c r="AD298" s="61">
        <v>9</v>
      </c>
    </row>
    <row r="299" spans="2:30" x14ac:dyDescent="0.25">
      <c r="B299" s="46" t="s">
        <v>64</v>
      </c>
      <c r="C299" s="46">
        <v>8</v>
      </c>
      <c r="D299" s="2"/>
      <c r="E299" s="46" t="s">
        <v>64</v>
      </c>
      <c r="F299" s="46">
        <v>5</v>
      </c>
      <c r="H299" s="46" t="s">
        <v>64</v>
      </c>
      <c r="I299" s="46">
        <v>6</v>
      </c>
      <c r="J299" s="2"/>
      <c r="K299" s="46" t="s">
        <v>64</v>
      </c>
      <c r="L299" s="46">
        <v>7</v>
      </c>
      <c r="N299" s="58" t="s">
        <v>64</v>
      </c>
      <c r="O299" s="58">
        <v>8</v>
      </c>
      <c r="P299" s="2"/>
      <c r="Q299" s="58" t="s">
        <v>64</v>
      </c>
      <c r="R299" s="58">
        <v>9</v>
      </c>
      <c r="T299" s="58" t="s">
        <v>64</v>
      </c>
      <c r="U299" s="58">
        <v>9</v>
      </c>
      <c r="W299" s="61" t="s">
        <v>64</v>
      </c>
      <c r="X299" s="61">
        <v>11</v>
      </c>
      <c r="Y299" s="2"/>
      <c r="Z299" s="61" t="s">
        <v>64</v>
      </c>
      <c r="AA299" s="61">
        <v>12</v>
      </c>
      <c r="AC299" s="61" t="s">
        <v>64</v>
      </c>
      <c r="AD299" s="61">
        <v>11</v>
      </c>
    </row>
    <row r="300" spans="2:30" x14ac:dyDescent="0.25">
      <c r="B300" s="46" t="s">
        <v>66</v>
      </c>
      <c r="C300" s="46">
        <v>9</v>
      </c>
      <c r="D300" s="2"/>
      <c r="E300" s="46" t="s">
        <v>66</v>
      </c>
      <c r="F300" s="46">
        <v>10</v>
      </c>
      <c r="H300" s="46" t="s">
        <v>66</v>
      </c>
      <c r="I300" s="46">
        <v>11</v>
      </c>
      <c r="J300" s="2"/>
      <c r="K300" s="46" t="s">
        <v>66</v>
      </c>
      <c r="L300" s="46">
        <v>12</v>
      </c>
      <c r="N300" s="58" t="s">
        <v>66</v>
      </c>
      <c r="O300" s="58">
        <v>11</v>
      </c>
      <c r="P300" s="2"/>
      <c r="Q300" s="58" t="s">
        <v>66</v>
      </c>
      <c r="R300" s="58">
        <v>12</v>
      </c>
      <c r="T300" s="58" t="s">
        <v>66</v>
      </c>
      <c r="U300" s="58">
        <v>11</v>
      </c>
      <c r="W300" s="61" t="s">
        <v>66</v>
      </c>
      <c r="X300" s="61">
        <v>12</v>
      </c>
      <c r="Y300" s="2"/>
      <c r="Z300" s="61" t="s">
        <v>66</v>
      </c>
      <c r="AA300" s="61">
        <v>13</v>
      </c>
      <c r="AC300" s="61" t="s">
        <v>66</v>
      </c>
      <c r="AD300" s="61">
        <v>14</v>
      </c>
    </row>
    <row r="301" spans="2:30" x14ac:dyDescent="0.25">
      <c r="B301" s="46" t="s">
        <v>67</v>
      </c>
      <c r="C301" s="46">
        <v>12</v>
      </c>
      <c r="D301" s="2"/>
      <c r="E301" s="46" t="s">
        <v>67</v>
      </c>
      <c r="F301" s="46">
        <v>9</v>
      </c>
      <c r="H301" s="46" t="s">
        <v>67</v>
      </c>
      <c r="I301" s="46">
        <v>10</v>
      </c>
      <c r="J301" s="2"/>
      <c r="K301" s="46" t="s">
        <v>67</v>
      </c>
      <c r="L301" s="46">
        <v>11</v>
      </c>
      <c r="N301" s="58" t="s">
        <v>67</v>
      </c>
      <c r="O301" s="58">
        <v>12</v>
      </c>
      <c r="P301" s="2"/>
      <c r="Q301" s="58" t="s">
        <v>67</v>
      </c>
      <c r="R301" s="58">
        <v>13</v>
      </c>
      <c r="T301" s="58" t="s">
        <v>67</v>
      </c>
      <c r="U301" s="58">
        <v>14</v>
      </c>
    </row>
    <row r="302" spans="2:30" x14ac:dyDescent="0.25">
      <c r="B302" s="46" t="s">
        <v>68</v>
      </c>
      <c r="C302" s="46">
        <v>13</v>
      </c>
      <c r="D302" s="2"/>
      <c r="E302" s="46" t="s">
        <v>68</v>
      </c>
      <c r="F302" s="46">
        <v>14</v>
      </c>
      <c r="H302" s="46" t="s">
        <v>68</v>
      </c>
      <c r="I302" s="46">
        <v>13</v>
      </c>
      <c r="J302" s="2"/>
      <c r="K302" s="46" t="s">
        <v>68</v>
      </c>
      <c r="L302" s="46">
        <v>14</v>
      </c>
    </row>
    <row r="304" spans="2:30" x14ac:dyDescent="0.25">
      <c r="N304" s="58" t="s">
        <v>59</v>
      </c>
      <c r="O304" s="58">
        <v>4</v>
      </c>
      <c r="P304" s="2"/>
      <c r="Q304" s="58" t="s">
        <v>59</v>
      </c>
      <c r="R304" s="58">
        <v>1</v>
      </c>
      <c r="W304" s="61" t="s">
        <v>59</v>
      </c>
      <c r="X304" s="61">
        <v>4</v>
      </c>
      <c r="Y304" s="2"/>
      <c r="Z304" s="61" t="s">
        <v>59</v>
      </c>
      <c r="AA304" s="61">
        <v>1</v>
      </c>
      <c r="AC304" s="61" t="s">
        <v>59</v>
      </c>
      <c r="AD304" s="61">
        <v>2</v>
      </c>
    </row>
    <row r="305" spans="2:30" x14ac:dyDescent="0.25">
      <c r="N305" s="58" t="s">
        <v>60</v>
      </c>
      <c r="O305" s="58">
        <v>6</v>
      </c>
      <c r="P305" s="2"/>
      <c r="Q305" s="58" t="s">
        <v>60</v>
      </c>
      <c r="R305" s="58">
        <v>4</v>
      </c>
      <c r="W305" s="61" t="s">
        <v>60</v>
      </c>
      <c r="X305" s="61">
        <v>7</v>
      </c>
      <c r="Y305" s="2"/>
      <c r="Z305" s="61" t="s">
        <v>60</v>
      </c>
      <c r="AA305" s="61">
        <v>4</v>
      </c>
      <c r="AC305" s="61" t="s">
        <v>60</v>
      </c>
      <c r="AD305" s="61">
        <v>8</v>
      </c>
    </row>
    <row r="306" spans="2:30" x14ac:dyDescent="0.25">
      <c r="N306" s="58" t="s">
        <v>62</v>
      </c>
      <c r="O306" s="58">
        <v>5</v>
      </c>
      <c r="P306" s="2"/>
      <c r="Q306" s="58" t="s">
        <v>62</v>
      </c>
      <c r="R306" s="58">
        <v>7</v>
      </c>
      <c r="W306" s="61" t="s">
        <v>62</v>
      </c>
      <c r="X306" s="61">
        <v>8</v>
      </c>
      <c r="Y306" s="2"/>
      <c r="Z306" s="61" t="s">
        <v>62</v>
      </c>
      <c r="AA306" s="61">
        <v>7</v>
      </c>
      <c r="AC306" s="61" t="s">
        <v>62</v>
      </c>
      <c r="AD306" s="61">
        <v>10</v>
      </c>
    </row>
    <row r="307" spans="2:30" x14ac:dyDescent="0.25">
      <c r="N307" s="58" t="s">
        <v>64</v>
      </c>
      <c r="O307" s="58">
        <v>10</v>
      </c>
      <c r="P307" s="2"/>
      <c r="Q307" s="58" t="s">
        <v>64</v>
      </c>
      <c r="R307" s="58">
        <v>10</v>
      </c>
      <c r="W307" s="61" t="s">
        <v>64</v>
      </c>
      <c r="X307" s="61">
        <v>10</v>
      </c>
      <c r="Y307" s="2"/>
      <c r="Z307" s="61" t="s">
        <v>64</v>
      </c>
      <c r="AA307" s="61">
        <v>9</v>
      </c>
      <c r="AC307" s="61" t="s">
        <v>64</v>
      </c>
      <c r="AD307" s="61">
        <v>13</v>
      </c>
    </row>
    <row r="308" spans="2:30" x14ac:dyDescent="0.25">
      <c r="N308" s="58" t="s">
        <v>66</v>
      </c>
      <c r="O308" s="58">
        <v>13</v>
      </c>
      <c r="P308" s="2"/>
      <c r="Q308" s="58" t="s">
        <v>66</v>
      </c>
      <c r="R308" s="58">
        <v>14</v>
      </c>
      <c r="W308" s="61" t="s">
        <v>66</v>
      </c>
      <c r="X308" s="61">
        <v>14</v>
      </c>
    </row>
    <row r="311" spans="2:30" ht="26.25" x14ac:dyDescent="0.25">
      <c r="B311" s="179" t="s">
        <v>113</v>
      </c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79"/>
      <c r="P311" s="179"/>
      <c r="Q311" s="179"/>
      <c r="R311" s="179"/>
      <c r="S311" s="179"/>
      <c r="T311" s="179"/>
      <c r="U311" s="179"/>
      <c r="V311" s="179"/>
      <c r="W311" s="179"/>
      <c r="X311" s="179"/>
      <c r="Y311" s="179"/>
      <c r="Z311" s="179"/>
      <c r="AA311" s="179"/>
      <c r="AB311" s="179"/>
      <c r="AC311" s="179"/>
      <c r="AD311" s="179"/>
    </row>
    <row r="313" spans="2:30" x14ac:dyDescent="0.25">
      <c r="B313" s="46" t="s">
        <v>59</v>
      </c>
      <c r="C313" s="46">
        <v>1</v>
      </c>
      <c r="D313" s="2"/>
      <c r="E313" s="46" t="s">
        <v>59</v>
      </c>
      <c r="F313" s="46">
        <v>2</v>
      </c>
      <c r="H313" s="46" t="s">
        <v>59</v>
      </c>
      <c r="I313" s="46">
        <v>3</v>
      </c>
      <c r="J313" s="2"/>
      <c r="K313" s="46" t="s">
        <v>59</v>
      </c>
      <c r="L313" s="46">
        <v>4</v>
      </c>
      <c r="N313" s="58" t="s">
        <v>59</v>
      </c>
      <c r="O313" s="58">
        <v>1</v>
      </c>
      <c r="P313" s="2"/>
      <c r="Q313" s="58" t="s">
        <v>59</v>
      </c>
      <c r="R313" s="58">
        <v>2</v>
      </c>
      <c r="S313" s="2"/>
      <c r="T313" s="58" t="s">
        <v>59</v>
      </c>
      <c r="U313" s="58">
        <v>3</v>
      </c>
      <c r="W313" s="61" t="s">
        <v>59</v>
      </c>
      <c r="X313" s="61">
        <v>1</v>
      </c>
      <c r="Y313" s="2"/>
      <c r="Z313" s="61" t="s">
        <v>59</v>
      </c>
      <c r="AA313" s="61">
        <v>2</v>
      </c>
      <c r="AC313" s="61" t="s">
        <v>59</v>
      </c>
      <c r="AD313" s="61">
        <v>3</v>
      </c>
    </row>
    <row r="314" spans="2:30" x14ac:dyDescent="0.25">
      <c r="B314" s="46" t="s">
        <v>60</v>
      </c>
      <c r="C314" s="46">
        <v>3</v>
      </c>
      <c r="D314" s="2"/>
      <c r="E314" s="46" t="s">
        <v>60</v>
      </c>
      <c r="F314" s="46">
        <v>4</v>
      </c>
      <c r="H314" s="46" t="s">
        <v>60</v>
      </c>
      <c r="I314" s="46">
        <v>2</v>
      </c>
      <c r="J314" s="2"/>
      <c r="K314" s="46" t="s">
        <v>60</v>
      </c>
      <c r="L314" s="46">
        <v>1</v>
      </c>
      <c r="N314" s="58" t="s">
        <v>60</v>
      </c>
      <c r="O314" s="58">
        <v>2</v>
      </c>
      <c r="P314" s="2"/>
      <c r="Q314" s="58" t="s">
        <v>60</v>
      </c>
      <c r="R314" s="58">
        <v>3</v>
      </c>
      <c r="S314" s="2"/>
      <c r="T314" s="58" t="s">
        <v>60</v>
      </c>
      <c r="U314" s="58">
        <v>5</v>
      </c>
      <c r="W314" s="61" t="s">
        <v>60</v>
      </c>
      <c r="X314" s="61">
        <v>5</v>
      </c>
      <c r="Y314" s="2"/>
      <c r="Z314" s="61" t="s">
        <v>60</v>
      </c>
      <c r="AA314" s="61">
        <v>3</v>
      </c>
      <c r="AC314" s="61" t="s">
        <v>60</v>
      </c>
      <c r="AD314" s="61">
        <v>6</v>
      </c>
    </row>
    <row r="315" spans="2:30" x14ac:dyDescent="0.25">
      <c r="B315" s="46" t="s">
        <v>62</v>
      </c>
      <c r="C315" s="46">
        <v>5</v>
      </c>
      <c r="D315" s="2"/>
      <c r="E315" s="46" t="s">
        <v>62</v>
      </c>
      <c r="F315" s="46">
        <v>6</v>
      </c>
      <c r="H315" s="46" t="s">
        <v>62</v>
      </c>
      <c r="I315" s="46">
        <v>7</v>
      </c>
      <c r="J315" s="2"/>
      <c r="K315" s="46" t="s">
        <v>62</v>
      </c>
      <c r="L315" s="46">
        <v>8</v>
      </c>
      <c r="N315" s="58" t="s">
        <v>62</v>
      </c>
      <c r="O315" s="58">
        <v>7</v>
      </c>
      <c r="P315" s="2"/>
      <c r="Q315" s="58" t="s">
        <v>62</v>
      </c>
      <c r="R315" s="58">
        <v>8</v>
      </c>
      <c r="S315" s="2"/>
      <c r="T315" s="58" t="s">
        <v>62</v>
      </c>
      <c r="U315" s="58">
        <v>6</v>
      </c>
      <c r="W315" s="61" t="s">
        <v>62</v>
      </c>
      <c r="X315" s="61">
        <v>6</v>
      </c>
      <c r="Y315" s="2"/>
      <c r="Z315" s="61" t="s">
        <v>62</v>
      </c>
      <c r="AA315" s="61">
        <v>5</v>
      </c>
      <c r="AC315" s="61" t="s">
        <v>62</v>
      </c>
      <c r="AD315" s="61">
        <v>9</v>
      </c>
    </row>
    <row r="316" spans="2:30" x14ac:dyDescent="0.25">
      <c r="B316" s="46" t="s">
        <v>64</v>
      </c>
      <c r="C316" s="46">
        <v>7</v>
      </c>
      <c r="D316" s="2"/>
      <c r="E316" s="46" t="s">
        <v>64</v>
      </c>
      <c r="F316" s="46">
        <v>8</v>
      </c>
      <c r="H316" s="46" t="s">
        <v>64</v>
      </c>
      <c r="I316" s="46">
        <v>6</v>
      </c>
      <c r="J316" s="2"/>
      <c r="K316" s="46" t="s">
        <v>64</v>
      </c>
      <c r="L316" s="46">
        <v>5</v>
      </c>
      <c r="N316" s="58" t="s">
        <v>64</v>
      </c>
      <c r="O316" s="58">
        <v>8</v>
      </c>
      <c r="P316" s="2"/>
      <c r="Q316" s="58" t="s">
        <v>64</v>
      </c>
      <c r="R316" s="58">
        <v>9</v>
      </c>
      <c r="S316" s="2"/>
      <c r="T316" s="58" t="s">
        <v>64</v>
      </c>
      <c r="U316" s="58">
        <v>9</v>
      </c>
      <c r="W316" s="61" t="s">
        <v>64</v>
      </c>
      <c r="X316" s="61">
        <v>11</v>
      </c>
      <c r="Y316" s="2"/>
      <c r="Z316" s="61" t="s">
        <v>64</v>
      </c>
      <c r="AA316" s="61">
        <v>12</v>
      </c>
      <c r="AC316" s="61" t="s">
        <v>64</v>
      </c>
      <c r="AD316" s="61">
        <v>11</v>
      </c>
    </row>
    <row r="317" spans="2:30" x14ac:dyDescent="0.25">
      <c r="B317" s="46" t="s">
        <v>66</v>
      </c>
      <c r="C317" s="46">
        <v>9</v>
      </c>
      <c r="D317" s="2"/>
      <c r="E317" s="46" t="s">
        <v>66</v>
      </c>
      <c r="F317" s="46">
        <v>10</v>
      </c>
      <c r="H317" s="46" t="s">
        <v>66</v>
      </c>
      <c r="I317" s="46">
        <v>11</v>
      </c>
      <c r="J317" s="2"/>
      <c r="K317" s="46" t="s">
        <v>66</v>
      </c>
      <c r="L317" s="46">
        <v>12</v>
      </c>
      <c r="N317" s="58" t="s">
        <v>66</v>
      </c>
      <c r="O317" s="58">
        <v>11</v>
      </c>
      <c r="P317" s="2"/>
      <c r="Q317" s="58" t="s">
        <v>66</v>
      </c>
      <c r="R317" s="58">
        <v>12</v>
      </c>
      <c r="S317" s="2"/>
      <c r="T317" s="58" t="s">
        <v>66</v>
      </c>
      <c r="U317" s="58">
        <v>11</v>
      </c>
      <c r="W317" s="61" t="s">
        <v>66</v>
      </c>
      <c r="X317" s="61">
        <v>12</v>
      </c>
      <c r="Y317" s="2"/>
      <c r="Z317" s="61" t="s">
        <v>66</v>
      </c>
      <c r="AA317" s="61">
        <v>13</v>
      </c>
      <c r="AC317" s="61" t="s">
        <v>66</v>
      </c>
      <c r="AD317" s="61">
        <v>14</v>
      </c>
    </row>
    <row r="318" spans="2:30" x14ac:dyDescent="0.25">
      <c r="B318" s="46" t="s">
        <v>67</v>
      </c>
      <c r="C318" s="46">
        <v>11</v>
      </c>
      <c r="D318" s="2"/>
      <c r="E318" s="46" t="s">
        <v>67</v>
      </c>
      <c r="F318" s="46">
        <v>12</v>
      </c>
      <c r="H318" s="46" t="s">
        <v>67</v>
      </c>
      <c r="I318" s="46">
        <v>10</v>
      </c>
      <c r="J318" s="2"/>
      <c r="K318" s="46" t="s">
        <v>67</v>
      </c>
      <c r="L318" s="46">
        <v>9</v>
      </c>
      <c r="N318" s="58" t="s">
        <v>67</v>
      </c>
      <c r="O318" s="58">
        <v>12</v>
      </c>
      <c r="P318" s="2"/>
      <c r="Q318" s="58" t="s">
        <v>67</v>
      </c>
      <c r="R318" s="58">
        <v>13</v>
      </c>
      <c r="S318" s="2"/>
      <c r="T318" s="58" t="s">
        <v>67</v>
      </c>
      <c r="U318" s="58">
        <v>14</v>
      </c>
    </row>
    <row r="319" spans="2:30" x14ac:dyDescent="0.25">
      <c r="B319" s="46" t="s">
        <v>68</v>
      </c>
      <c r="C319" s="46">
        <v>13</v>
      </c>
      <c r="D319" s="2"/>
      <c r="E319" s="46" t="s">
        <v>68</v>
      </c>
      <c r="F319" s="46">
        <v>14</v>
      </c>
      <c r="H319" s="46" t="s">
        <v>68</v>
      </c>
      <c r="I319" s="46">
        <v>13</v>
      </c>
      <c r="J319" s="2"/>
      <c r="K319" s="46" t="s">
        <v>71</v>
      </c>
      <c r="L319" s="46">
        <v>15</v>
      </c>
      <c r="O319" s="2"/>
      <c r="R319" s="2"/>
    </row>
    <row r="320" spans="2:30" x14ac:dyDescent="0.25">
      <c r="B320" s="46" t="s">
        <v>69</v>
      </c>
      <c r="C320" s="46">
        <v>14</v>
      </c>
      <c r="D320" s="2"/>
      <c r="H320" s="2"/>
      <c r="I320" s="2"/>
      <c r="O320" s="2"/>
      <c r="R320" s="2"/>
      <c r="W320" s="61" t="s">
        <v>59</v>
      </c>
      <c r="X320" s="61">
        <v>4</v>
      </c>
      <c r="Y320" s="2"/>
      <c r="Z320" s="61" t="s">
        <v>59</v>
      </c>
      <c r="AA320" s="61">
        <v>1</v>
      </c>
      <c r="AC320" s="61" t="s">
        <v>59</v>
      </c>
      <c r="AD320" s="61">
        <v>2</v>
      </c>
    </row>
    <row r="321" spans="2:30" x14ac:dyDescent="0.25">
      <c r="N321" s="58" t="s">
        <v>59</v>
      </c>
      <c r="O321" s="58">
        <v>4</v>
      </c>
      <c r="P321" s="2"/>
      <c r="Q321" s="58" t="s">
        <v>59</v>
      </c>
      <c r="R321" s="58">
        <v>1</v>
      </c>
      <c r="W321" s="61" t="s">
        <v>60</v>
      </c>
      <c r="X321" s="61">
        <v>7</v>
      </c>
      <c r="Y321" s="2"/>
      <c r="Z321" s="61" t="s">
        <v>60</v>
      </c>
      <c r="AA321" s="61">
        <v>4</v>
      </c>
      <c r="AC321" s="61" t="s">
        <v>60</v>
      </c>
      <c r="AD321" s="61">
        <v>8</v>
      </c>
    </row>
    <row r="322" spans="2:30" x14ac:dyDescent="0.25">
      <c r="N322" s="58" t="s">
        <v>60</v>
      </c>
      <c r="O322" s="58">
        <v>6</v>
      </c>
      <c r="P322" s="2"/>
      <c r="Q322" s="58" t="s">
        <v>60</v>
      </c>
      <c r="R322" s="58">
        <v>4</v>
      </c>
      <c r="W322" s="61" t="s">
        <v>62</v>
      </c>
      <c r="X322" s="61">
        <v>8</v>
      </c>
      <c r="Y322" s="2"/>
      <c r="Z322" s="61" t="s">
        <v>62</v>
      </c>
      <c r="AA322" s="61">
        <v>7</v>
      </c>
      <c r="AC322" s="61" t="s">
        <v>62</v>
      </c>
      <c r="AD322" s="61">
        <v>10</v>
      </c>
    </row>
    <row r="323" spans="2:30" x14ac:dyDescent="0.25">
      <c r="N323" s="58" t="s">
        <v>62</v>
      </c>
      <c r="O323" s="58">
        <v>5</v>
      </c>
      <c r="P323" s="2"/>
      <c r="Q323" s="58" t="s">
        <v>62</v>
      </c>
      <c r="R323" s="58">
        <v>7</v>
      </c>
      <c r="W323" s="61" t="s">
        <v>64</v>
      </c>
      <c r="X323" s="61">
        <v>10</v>
      </c>
      <c r="Y323" s="2"/>
      <c r="Z323" s="61" t="s">
        <v>64</v>
      </c>
      <c r="AA323" s="61">
        <v>9</v>
      </c>
      <c r="AC323" s="61" t="s">
        <v>64</v>
      </c>
      <c r="AD323" s="61">
        <v>13</v>
      </c>
    </row>
    <row r="324" spans="2:30" x14ac:dyDescent="0.25">
      <c r="N324" s="58" t="s">
        <v>64</v>
      </c>
      <c r="O324" s="58">
        <v>10</v>
      </c>
      <c r="P324" s="2"/>
      <c r="Q324" s="58" t="s">
        <v>64</v>
      </c>
      <c r="R324" s="58">
        <v>10</v>
      </c>
      <c r="W324" s="61" t="s">
        <v>66</v>
      </c>
      <c r="X324" s="61">
        <v>14</v>
      </c>
      <c r="Y324" s="2"/>
      <c r="Z324" s="61" t="s">
        <v>71</v>
      </c>
      <c r="AA324" s="61">
        <v>15</v>
      </c>
      <c r="AC324" s="2"/>
      <c r="AD324" s="2"/>
    </row>
    <row r="325" spans="2:30" x14ac:dyDescent="0.25">
      <c r="N325" s="58" t="s">
        <v>66</v>
      </c>
      <c r="O325" s="58">
        <v>13</v>
      </c>
      <c r="P325" s="2"/>
      <c r="Q325" s="58" t="s">
        <v>66</v>
      </c>
      <c r="R325" s="58">
        <v>14</v>
      </c>
    </row>
    <row r="326" spans="2:30" x14ac:dyDescent="0.25">
      <c r="N326" s="58" t="s">
        <v>67</v>
      </c>
      <c r="O326" s="58">
        <v>15</v>
      </c>
      <c r="P326" s="2"/>
      <c r="Q326" s="2"/>
      <c r="R326" s="2"/>
    </row>
    <row r="329" spans="2:30" ht="26.25" x14ac:dyDescent="0.25">
      <c r="B329" s="179" t="s">
        <v>114</v>
      </c>
      <c r="C329" s="179"/>
      <c r="D329" s="179"/>
      <c r="E329" s="179"/>
      <c r="F329" s="179"/>
      <c r="G329" s="179"/>
      <c r="H329" s="179"/>
      <c r="I329" s="179"/>
      <c r="J329" s="179"/>
      <c r="K329" s="179"/>
      <c r="L329" s="179"/>
      <c r="M329" s="179"/>
      <c r="N329" s="179"/>
      <c r="O329" s="179"/>
      <c r="P329" s="179"/>
      <c r="Q329" s="179"/>
      <c r="R329" s="179"/>
      <c r="S329" s="179"/>
      <c r="T329" s="179"/>
      <c r="U329" s="179"/>
      <c r="V329" s="179"/>
      <c r="W329" s="179"/>
      <c r="X329" s="179"/>
      <c r="Y329" s="179"/>
      <c r="Z329" s="179"/>
      <c r="AA329" s="179"/>
      <c r="AB329" s="179"/>
      <c r="AC329" s="179"/>
      <c r="AD329" s="179"/>
    </row>
    <row r="331" spans="2:30" x14ac:dyDescent="0.25">
      <c r="B331" s="46" t="s">
        <v>59</v>
      </c>
      <c r="C331" s="46">
        <v>1</v>
      </c>
      <c r="D331" s="2"/>
      <c r="E331" s="46" t="s">
        <v>59</v>
      </c>
      <c r="F331" s="46">
        <v>2</v>
      </c>
      <c r="H331" s="46" t="s">
        <v>59</v>
      </c>
      <c r="I331" s="46">
        <v>3</v>
      </c>
      <c r="J331" s="2"/>
      <c r="K331" s="46" t="s">
        <v>59</v>
      </c>
      <c r="L331" s="46">
        <v>4</v>
      </c>
      <c r="N331" s="58" t="s">
        <v>59</v>
      </c>
      <c r="O331" s="58">
        <v>1</v>
      </c>
      <c r="P331" s="2"/>
      <c r="Q331" s="58" t="s">
        <v>59</v>
      </c>
      <c r="R331" s="58">
        <v>2</v>
      </c>
      <c r="T331" s="58" t="s">
        <v>59</v>
      </c>
      <c r="U331" s="58">
        <v>3</v>
      </c>
      <c r="W331" s="61" t="s">
        <v>59</v>
      </c>
      <c r="X331" s="61">
        <v>1</v>
      </c>
      <c r="Y331" s="2"/>
      <c r="Z331" s="61" t="s">
        <v>59</v>
      </c>
      <c r="AA331" s="61">
        <v>2</v>
      </c>
      <c r="AC331" s="61" t="s">
        <v>59</v>
      </c>
      <c r="AD331" s="61">
        <v>3</v>
      </c>
    </row>
    <row r="332" spans="2:30" x14ac:dyDescent="0.25">
      <c r="B332" s="46" t="s">
        <v>60</v>
      </c>
      <c r="C332" s="46">
        <v>3</v>
      </c>
      <c r="D332" s="2"/>
      <c r="E332" s="46" t="s">
        <v>60</v>
      </c>
      <c r="F332" s="46">
        <v>4</v>
      </c>
      <c r="H332" s="46" t="s">
        <v>60</v>
      </c>
      <c r="I332" s="46">
        <v>2</v>
      </c>
      <c r="J332" s="2"/>
      <c r="K332" s="46" t="s">
        <v>60</v>
      </c>
      <c r="L332" s="46">
        <v>1</v>
      </c>
      <c r="N332" s="58" t="s">
        <v>60</v>
      </c>
      <c r="O332" s="58">
        <v>2</v>
      </c>
      <c r="P332" s="2"/>
      <c r="Q332" s="58" t="s">
        <v>60</v>
      </c>
      <c r="R332" s="58">
        <v>3</v>
      </c>
      <c r="T332" s="58" t="s">
        <v>60</v>
      </c>
      <c r="U332" s="58">
        <v>5</v>
      </c>
      <c r="W332" s="61" t="s">
        <v>60</v>
      </c>
      <c r="X332" s="61">
        <v>5</v>
      </c>
      <c r="Y332" s="2"/>
      <c r="Z332" s="61" t="s">
        <v>60</v>
      </c>
      <c r="AA332" s="61">
        <v>3</v>
      </c>
      <c r="AC332" s="61" t="s">
        <v>60</v>
      </c>
      <c r="AD332" s="61">
        <v>6</v>
      </c>
    </row>
    <row r="333" spans="2:30" x14ac:dyDescent="0.25">
      <c r="B333" s="46" t="s">
        <v>62</v>
      </c>
      <c r="C333" s="46">
        <v>5</v>
      </c>
      <c r="D333" s="2"/>
      <c r="E333" s="46" t="s">
        <v>62</v>
      </c>
      <c r="F333" s="46">
        <v>6</v>
      </c>
      <c r="H333" s="46" t="s">
        <v>62</v>
      </c>
      <c r="I333" s="46">
        <v>7</v>
      </c>
      <c r="J333" s="2"/>
      <c r="K333" s="46" t="s">
        <v>62</v>
      </c>
      <c r="L333" s="46">
        <v>8</v>
      </c>
      <c r="N333" s="58" t="s">
        <v>62</v>
      </c>
      <c r="O333" s="58">
        <v>7</v>
      </c>
      <c r="P333" s="2"/>
      <c r="Q333" s="58" t="s">
        <v>62</v>
      </c>
      <c r="R333" s="58">
        <v>8</v>
      </c>
      <c r="T333" s="58" t="s">
        <v>62</v>
      </c>
      <c r="U333" s="58">
        <v>6</v>
      </c>
      <c r="W333" s="61" t="s">
        <v>62</v>
      </c>
      <c r="X333" s="61">
        <v>6</v>
      </c>
      <c r="Y333" s="2"/>
      <c r="Z333" s="61" t="s">
        <v>62</v>
      </c>
      <c r="AA333" s="61">
        <v>5</v>
      </c>
      <c r="AC333" s="61" t="s">
        <v>62</v>
      </c>
      <c r="AD333" s="61">
        <v>9</v>
      </c>
    </row>
    <row r="334" spans="2:30" x14ac:dyDescent="0.25">
      <c r="B334" s="46" t="s">
        <v>64</v>
      </c>
      <c r="C334" s="46">
        <v>7</v>
      </c>
      <c r="D334" s="2"/>
      <c r="E334" s="46" t="s">
        <v>64</v>
      </c>
      <c r="F334" s="46">
        <v>8</v>
      </c>
      <c r="H334" s="46" t="s">
        <v>64</v>
      </c>
      <c r="I334" s="46">
        <v>6</v>
      </c>
      <c r="J334" s="2"/>
      <c r="K334" s="46" t="s">
        <v>64</v>
      </c>
      <c r="L334" s="46">
        <v>5</v>
      </c>
      <c r="N334" s="58" t="s">
        <v>64</v>
      </c>
      <c r="O334" s="58">
        <v>8</v>
      </c>
      <c r="P334" s="2"/>
      <c r="Q334" s="58" t="s">
        <v>64</v>
      </c>
      <c r="R334" s="58">
        <v>9</v>
      </c>
      <c r="T334" s="58" t="s">
        <v>64</v>
      </c>
      <c r="U334" s="58">
        <v>9</v>
      </c>
      <c r="W334" s="61" t="s">
        <v>64</v>
      </c>
      <c r="X334" s="61">
        <v>11</v>
      </c>
      <c r="Y334" s="2"/>
      <c r="Z334" s="61" t="s">
        <v>64</v>
      </c>
      <c r="AA334" s="61">
        <v>12</v>
      </c>
      <c r="AC334" s="61" t="s">
        <v>64</v>
      </c>
      <c r="AD334" s="61">
        <v>11</v>
      </c>
    </row>
    <row r="335" spans="2:30" x14ac:dyDescent="0.25">
      <c r="B335" s="46" t="s">
        <v>66</v>
      </c>
      <c r="C335" s="46">
        <v>9</v>
      </c>
      <c r="D335" s="2"/>
      <c r="E335" s="46" t="s">
        <v>66</v>
      </c>
      <c r="F335" s="46">
        <v>10</v>
      </c>
      <c r="H335" s="46" t="s">
        <v>66</v>
      </c>
      <c r="I335" s="46">
        <v>11</v>
      </c>
      <c r="J335" s="2"/>
      <c r="K335" s="46" t="s">
        <v>66</v>
      </c>
      <c r="L335" s="46">
        <v>12</v>
      </c>
      <c r="N335" s="58" t="s">
        <v>66</v>
      </c>
      <c r="O335" s="58">
        <v>11</v>
      </c>
      <c r="P335" s="2"/>
      <c r="Q335" s="58" t="s">
        <v>66</v>
      </c>
      <c r="R335" s="58">
        <v>12</v>
      </c>
      <c r="T335" s="58" t="s">
        <v>66</v>
      </c>
      <c r="U335" s="58">
        <v>11</v>
      </c>
      <c r="W335" s="61" t="s">
        <v>66</v>
      </c>
      <c r="X335" s="61">
        <v>12</v>
      </c>
      <c r="Y335" s="2"/>
      <c r="Z335" s="61" t="s">
        <v>66</v>
      </c>
      <c r="AA335" s="61">
        <v>13</v>
      </c>
      <c r="AC335" s="61" t="s">
        <v>66</v>
      </c>
      <c r="AD335" s="61">
        <v>14</v>
      </c>
    </row>
    <row r="336" spans="2:30" x14ac:dyDescent="0.25">
      <c r="B336" s="46" t="s">
        <v>67</v>
      </c>
      <c r="C336" s="46">
        <v>11</v>
      </c>
      <c r="D336" s="2"/>
      <c r="E336" s="46" t="s">
        <v>67</v>
      </c>
      <c r="F336" s="46">
        <v>12</v>
      </c>
      <c r="H336" s="46" t="s">
        <v>67</v>
      </c>
      <c r="I336" s="46">
        <v>10</v>
      </c>
      <c r="J336" s="2"/>
      <c r="K336" s="46" t="s">
        <v>67</v>
      </c>
      <c r="L336" s="46">
        <v>9</v>
      </c>
      <c r="N336" s="58" t="s">
        <v>67</v>
      </c>
      <c r="O336" s="58">
        <v>12</v>
      </c>
      <c r="P336" s="2"/>
      <c r="Q336" s="58" t="s">
        <v>67</v>
      </c>
      <c r="R336" s="58">
        <v>13</v>
      </c>
      <c r="T336" s="58" t="s">
        <v>67</v>
      </c>
      <c r="U336" s="58">
        <v>14</v>
      </c>
      <c r="X336" s="2"/>
      <c r="AA336" s="2"/>
      <c r="AD336" s="2"/>
    </row>
    <row r="337" spans="2:30" x14ac:dyDescent="0.25">
      <c r="B337" s="46" t="s">
        <v>68</v>
      </c>
      <c r="C337" s="46">
        <v>13</v>
      </c>
      <c r="D337" s="2"/>
      <c r="E337" s="46" t="s">
        <v>68</v>
      </c>
      <c r="F337" s="46">
        <v>14</v>
      </c>
      <c r="H337" s="46" t="s">
        <v>68</v>
      </c>
      <c r="I337" s="46">
        <v>15</v>
      </c>
      <c r="J337" s="2"/>
      <c r="K337" s="46" t="s">
        <v>68</v>
      </c>
      <c r="L337" s="46">
        <v>15</v>
      </c>
      <c r="X337" s="2"/>
      <c r="AA337" s="2"/>
      <c r="AD337" s="2"/>
    </row>
    <row r="338" spans="2:30" x14ac:dyDescent="0.25">
      <c r="B338" s="46" t="s">
        <v>69</v>
      </c>
      <c r="C338" s="46">
        <v>14</v>
      </c>
      <c r="D338" s="2"/>
      <c r="E338" s="46" t="s">
        <v>69</v>
      </c>
      <c r="F338" s="46">
        <v>13</v>
      </c>
      <c r="H338" s="2"/>
      <c r="I338" s="2"/>
      <c r="W338" s="61" t="s">
        <v>59</v>
      </c>
      <c r="X338" s="61">
        <v>4</v>
      </c>
      <c r="Y338" s="2"/>
      <c r="Z338" s="61" t="s">
        <v>59</v>
      </c>
      <c r="AA338" s="61">
        <v>1</v>
      </c>
      <c r="AC338" s="61" t="s">
        <v>59</v>
      </c>
      <c r="AD338" s="61">
        <v>2</v>
      </c>
    </row>
    <row r="339" spans="2:30" x14ac:dyDescent="0.25">
      <c r="N339" s="58" t="s">
        <v>59</v>
      </c>
      <c r="O339" s="58">
        <v>4</v>
      </c>
      <c r="P339" s="2"/>
      <c r="Q339" s="58" t="s">
        <v>59</v>
      </c>
      <c r="R339" s="58">
        <v>1</v>
      </c>
      <c r="W339" s="61" t="s">
        <v>60</v>
      </c>
      <c r="X339" s="61">
        <v>7</v>
      </c>
      <c r="Y339" s="2"/>
      <c r="Z339" s="61" t="s">
        <v>60</v>
      </c>
      <c r="AA339" s="61">
        <v>4</v>
      </c>
      <c r="AC339" s="61" t="s">
        <v>60</v>
      </c>
      <c r="AD339" s="61">
        <v>8</v>
      </c>
    </row>
    <row r="340" spans="2:30" x14ac:dyDescent="0.25">
      <c r="N340" s="58" t="s">
        <v>60</v>
      </c>
      <c r="O340" s="58">
        <v>6</v>
      </c>
      <c r="P340" s="2"/>
      <c r="Q340" s="58" t="s">
        <v>60</v>
      </c>
      <c r="R340" s="58">
        <v>4</v>
      </c>
      <c r="W340" s="61" t="s">
        <v>62</v>
      </c>
      <c r="X340" s="61">
        <v>8</v>
      </c>
      <c r="Y340" s="2"/>
      <c r="Z340" s="61" t="s">
        <v>62</v>
      </c>
      <c r="AA340" s="61">
        <v>7</v>
      </c>
      <c r="AC340" s="61" t="s">
        <v>62</v>
      </c>
      <c r="AD340" s="61">
        <v>10</v>
      </c>
    </row>
    <row r="341" spans="2:30" x14ac:dyDescent="0.25">
      <c r="N341" s="58" t="s">
        <v>62</v>
      </c>
      <c r="O341" s="58">
        <v>5</v>
      </c>
      <c r="P341" s="2"/>
      <c r="Q341" s="58" t="s">
        <v>62</v>
      </c>
      <c r="R341" s="58">
        <v>7</v>
      </c>
      <c r="W341" s="61" t="s">
        <v>64</v>
      </c>
      <c r="X341" s="61">
        <v>10</v>
      </c>
      <c r="Y341" s="2"/>
      <c r="Z341" s="61" t="s">
        <v>64</v>
      </c>
      <c r="AA341" s="61">
        <v>9</v>
      </c>
      <c r="AC341" s="61" t="s">
        <v>64</v>
      </c>
      <c r="AD341" s="61">
        <v>13</v>
      </c>
    </row>
    <row r="342" spans="2:30" x14ac:dyDescent="0.25">
      <c r="N342" s="58" t="s">
        <v>64</v>
      </c>
      <c r="O342" s="58">
        <v>10</v>
      </c>
      <c r="P342" s="2"/>
      <c r="Q342" s="58" t="s">
        <v>64</v>
      </c>
      <c r="R342" s="58">
        <v>10</v>
      </c>
      <c r="W342" s="61" t="s">
        <v>66</v>
      </c>
      <c r="X342" s="61">
        <v>14</v>
      </c>
      <c r="Y342" s="2"/>
      <c r="Z342" s="61" t="s">
        <v>66</v>
      </c>
      <c r="AA342" s="61">
        <v>15</v>
      </c>
      <c r="AC342" s="61" t="s">
        <v>66</v>
      </c>
      <c r="AD342" s="61">
        <v>15</v>
      </c>
    </row>
    <row r="343" spans="2:30" x14ac:dyDescent="0.25">
      <c r="N343" s="58" t="s">
        <v>66</v>
      </c>
      <c r="O343" s="58">
        <v>13</v>
      </c>
      <c r="P343" s="2"/>
      <c r="Q343" s="58" t="s">
        <v>66</v>
      </c>
      <c r="R343" s="58">
        <v>14</v>
      </c>
    </row>
    <row r="344" spans="2:30" x14ac:dyDescent="0.25">
      <c r="N344" s="58" t="s">
        <v>67</v>
      </c>
      <c r="O344" s="58">
        <v>15</v>
      </c>
      <c r="P344" s="2"/>
      <c r="Q344" s="58" t="s">
        <v>67</v>
      </c>
      <c r="R344" s="58">
        <v>15</v>
      </c>
    </row>
    <row r="346" spans="2:30" ht="26.25" x14ac:dyDescent="0.25">
      <c r="B346" s="179" t="s">
        <v>115</v>
      </c>
      <c r="C346" s="179"/>
      <c r="D346" s="179"/>
      <c r="E346" s="179"/>
      <c r="F346" s="179"/>
      <c r="G346" s="179"/>
      <c r="H346" s="179"/>
      <c r="I346" s="179"/>
      <c r="J346" s="179"/>
      <c r="K346" s="179"/>
      <c r="L346" s="179"/>
      <c r="M346" s="179"/>
      <c r="N346" s="179"/>
      <c r="O346" s="179"/>
      <c r="P346" s="179"/>
      <c r="Q346" s="179"/>
      <c r="R346" s="179"/>
      <c r="S346" s="179"/>
      <c r="T346" s="179"/>
      <c r="U346" s="179"/>
      <c r="V346" s="179"/>
      <c r="W346" s="179"/>
      <c r="X346" s="179"/>
      <c r="Y346" s="179"/>
      <c r="Z346" s="179"/>
      <c r="AA346" s="179"/>
      <c r="AB346" s="179"/>
      <c r="AC346" s="179"/>
      <c r="AD346" s="179"/>
    </row>
    <row r="348" spans="2:30" x14ac:dyDescent="0.25">
      <c r="B348" s="46" t="s">
        <v>59</v>
      </c>
      <c r="C348" s="46">
        <v>1</v>
      </c>
      <c r="D348" s="2"/>
      <c r="E348" s="46" t="s">
        <v>59</v>
      </c>
      <c r="F348" s="46">
        <v>2</v>
      </c>
      <c r="H348" s="46" t="s">
        <v>59</v>
      </c>
      <c r="I348" s="46">
        <v>3</v>
      </c>
      <c r="J348" s="2"/>
      <c r="K348" s="46" t="s">
        <v>59</v>
      </c>
      <c r="L348" s="46">
        <v>4</v>
      </c>
      <c r="N348" s="58" t="s">
        <v>59</v>
      </c>
      <c r="O348" s="58">
        <v>1</v>
      </c>
      <c r="P348" s="2"/>
      <c r="Q348" s="58" t="s">
        <v>59</v>
      </c>
      <c r="R348" s="58">
        <v>2</v>
      </c>
      <c r="S348" s="2"/>
      <c r="T348" s="58" t="s">
        <v>59</v>
      </c>
      <c r="U348" s="58">
        <v>3</v>
      </c>
      <c r="V348" s="2"/>
      <c r="W348" s="62" t="s">
        <v>59</v>
      </c>
      <c r="X348" s="63">
        <v>1</v>
      </c>
      <c r="Y348" s="2"/>
      <c r="Z348" s="63" t="s">
        <v>59</v>
      </c>
      <c r="AA348" s="63">
        <v>2</v>
      </c>
      <c r="AB348" s="2"/>
      <c r="AC348" s="63" t="s">
        <v>59</v>
      </c>
      <c r="AD348" s="64">
        <v>3</v>
      </c>
    </row>
    <row r="349" spans="2:30" x14ac:dyDescent="0.25">
      <c r="B349" s="46" t="s">
        <v>60</v>
      </c>
      <c r="C349" s="46">
        <v>3</v>
      </c>
      <c r="D349" s="2"/>
      <c r="E349" s="46" t="s">
        <v>60</v>
      </c>
      <c r="F349" s="46">
        <v>4</v>
      </c>
      <c r="H349" s="46" t="s">
        <v>60</v>
      </c>
      <c r="I349" s="46">
        <v>2</v>
      </c>
      <c r="J349" s="2"/>
      <c r="K349" s="46" t="s">
        <v>60</v>
      </c>
      <c r="L349" s="46">
        <v>1</v>
      </c>
      <c r="N349" s="58" t="s">
        <v>60</v>
      </c>
      <c r="O349" s="58">
        <v>2</v>
      </c>
      <c r="P349" s="2"/>
      <c r="Q349" s="58" t="s">
        <v>60</v>
      </c>
      <c r="R349" s="58">
        <v>3</v>
      </c>
      <c r="T349" s="58" t="s">
        <v>60</v>
      </c>
      <c r="U349" s="58">
        <v>5</v>
      </c>
      <c r="V349" s="2"/>
      <c r="W349" s="63" t="s">
        <v>60</v>
      </c>
      <c r="X349" s="63">
        <v>5</v>
      </c>
      <c r="Y349" s="2"/>
      <c r="Z349" s="63" t="s">
        <v>60</v>
      </c>
      <c r="AA349" s="63">
        <v>3</v>
      </c>
      <c r="AC349" s="63" t="s">
        <v>60</v>
      </c>
      <c r="AD349" s="63">
        <v>6</v>
      </c>
    </row>
    <row r="350" spans="2:30" x14ac:dyDescent="0.25">
      <c r="B350" s="46" t="s">
        <v>62</v>
      </c>
      <c r="C350" s="46">
        <v>5</v>
      </c>
      <c r="D350" s="2"/>
      <c r="E350" s="46" t="s">
        <v>62</v>
      </c>
      <c r="F350" s="46">
        <v>6</v>
      </c>
      <c r="H350" s="46" t="s">
        <v>62</v>
      </c>
      <c r="I350" s="46">
        <v>7</v>
      </c>
      <c r="J350" s="2"/>
      <c r="K350" s="46" t="s">
        <v>62</v>
      </c>
      <c r="L350" s="46">
        <v>8</v>
      </c>
      <c r="N350" s="58" t="s">
        <v>62</v>
      </c>
      <c r="O350" s="58">
        <v>7</v>
      </c>
      <c r="P350" s="2"/>
      <c r="Q350" s="58" t="s">
        <v>62</v>
      </c>
      <c r="R350" s="58">
        <v>8</v>
      </c>
      <c r="T350" s="58" t="s">
        <v>62</v>
      </c>
      <c r="U350" s="58">
        <v>6</v>
      </c>
      <c r="V350" s="2"/>
      <c r="W350" s="63" t="s">
        <v>62</v>
      </c>
      <c r="X350" s="63">
        <v>6</v>
      </c>
      <c r="Y350" s="2"/>
      <c r="Z350" s="63" t="s">
        <v>62</v>
      </c>
      <c r="AA350" s="63">
        <v>5</v>
      </c>
      <c r="AC350" s="63" t="s">
        <v>62</v>
      </c>
      <c r="AD350" s="63">
        <v>9</v>
      </c>
    </row>
    <row r="351" spans="2:30" x14ac:dyDescent="0.25">
      <c r="B351" s="46" t="s">
        <v>64</v>
      </c>
      <c r="C351" s="46">
        <v>7</v>
      </c>
      <c r="D351" s="2"/>
      <c r="E351" s="46" t="s">
        <v>64</v>
      </c>
      <c r="F351" s="46">
        <v>8</v>
      </c>
      <c r="H351" s="46" t="s">
        <v>64</v>
      </c>
      <c r="I351" s="46">
        <v>6</v>
      </c>
      <c r="J351" s="2"/>
      <c r="K351" s="46" t="s">
        <v>64</v>
      </c>
      <c r="L351" s="46">
        <v>5</v>
      </c>
      <c r="N351" s="58" t="s">
        <v>64</v>
      </c>
      <c r="O351" s="58">
        <v>8</v>
      </c>
      <c r="P351" s="2"/>
      <c r="Q351" s="58" t="s">
        <v>64</v>
      </c>
      <c r="R351" s="58">
        <v>9</v>
      </c>
      <c r="T351" s="58" t="s">
        <v>64</v>
      </c>
      <c r="U351" s="58">
        <v>9</v>
      </c>
      <c r="V351" s="2"/>
      <c r="W351" s="63" t="s">
        <v>64</v>
      </c>
      <c r="X351" s="63">
        <v>11</v>
      </c>
      <c r="Y351" s="2"/>
      <c r="Z351" s="63" t="s">
        <v>64</v>
      </c>
      <c r="AA351" s="63">
        <v>12</v>
      </c>
      <c r="AC351" s="63" t="s">
        <v>64</v>
      </c>
      <c r="AD351" s="63">
        <v>11</v>
      </c>
    </row>
    <row r="352" spans="2:30" x14ac:dyDescent="0.25">
      <c r="B352" s="46" t="s">
        <v>66</v>
      </c>
      <c r="C352" s="46">
        <v>9</v>
      </c>
      <c r="D352" s="2"/>
      <c r="E352" s="46" t="s">
        <v>66</v>
      </c>
      <c r="F352" s="46">
        <v>10</v>
      </c>
      <c r="H352" s="46" t="s">
        <v>66</v>
      </c>
      <c r="I352" s="46">
        <v>11</v>
      </c>
      <c r="J352" s="2"/>
      <c r="K352" s="46" t="s">
        <v>66</v>
      </c>
      <c r="L352" s="46">
        <v>12</v>
      </c>
      <c r="N352" s="58" t="s">
        <v>66</v>
      </c>
      <c r="O352" s="58">
        <v>11</v>
      </c>
      <c r="P352" s="2"/>
      <c r="Q352" s="58" t="s">
        <v>66</v>
      </c>
      <c r="R352" s="58">
        <v>12</v>
      </c>
      <c r="T352" s="58" t="s">
        <v>66</v>
      </c>
      <c r="U352" s="58">
        <v>11</v>
      </c>
      <c r="V352" s="2"/>
      <c r="W352" s="63" t="s">
        <v>66</v>
      </c>
      <c r="X352" s="63">
        <v>12</v>
      </c>
      <c r="Y352" s="2"/>
      <c r="Z352" s="63" t="s">
        <v>66</v>
      </c>
      <c r="AA352" s="63">
        <v>13</v>
      </c>
      <c r="AC352" s="63" t="s">
        <v>66</v>
      </c>
      <c r="AD352" s="63">
        <v>14</v>
      </c>
    </row>
    <row r="353" spans="2:30" x14ac:dyDescent="0.25">
      <c r="B353" s="46" t="s">
        <v>67</v>
      </c>
      <c r="C353" s="46">
        <v>11</v>
      </c>
      <c r="D353" s="2"/>
      <c r="E353" s="46" t="s">
        <v>67</v>
      </c>
      <c r="F353" s="46">
        <v>12</v>
      </c>
      <c r="H353" s="46" t="s">
        <v>67</v>
      </c>
      <c r="I353" s="46">
        <v>10</v>
      </c>
      <c r="J353" s="2"/>
      <c r="K353" s="46" t="s">
        <v>67</v>
      </c>
      <c r="L353" s="46">
        <v>9</v>
      </c>
      <c r="N353" s="58" t="s">
        <v>67</v>
      </c>
      <c r="O353" s="58">
        <v>12</v>
      </c>
      <c r="P353" s="2"/>
      <c r="Q353" s="58" t="s">
        <v>67</v>
      </c>
      <c r="R353" s="58">
        <v>13</v>
      </c>
      <c r="T353" s="58" t="s">
        <v>67</v>
      </c>
      <c r="U353" s="58">
        <v>14</v>
      </c>
      <c r="V353" s="2"/>
      <c r="W353" s="63" t="s">
        <v>67</v>
      </c>
      <c r="X353" s="63">
        <v>15</v>
      </c>
      <c r="Z353" s="2"/>
      <c r="AA353" s="2"/>
    </row>
    <row r="354" spans="2:30" x14ac:dyDescent="0.25">
      <c r="B354" s="46" t="s">
        <v>68</v>
      </c>
      <c r="C354" s="46">
        <v>13</v>
      </c>
      <c r="D354" s="2"/>
      <c r="E354" s="46" t="s">
        <v>68</v>
      </c>
      <c r="F354" s="46">
        <v>14</v>
      </c>
      <c r="H354" s="46" t="s">
        <v>68</v>
      </c>
      <c r="I354" s="46">
        <v>15</v>
      </c>
      <c r="J354" s="2"/>
      <c r="K354" s="46" t="s">
        <v>68</v>
      </c>
      <c r="L354" s="46">
        <v>16</v>
      </c>
      <c r="N354" s="58" t="s">
        <v>68</v>
      </c>
      <c r="O354" s="58">
        <v>15</v>
      </c>
      <c r="Q354" s="2"/>
      <c r="R354" s="2"/>
    </row>
    <row r="355" spans="2:30" x14ac:dyDescent="0.25">
      <c r="B355" s="46" t="s">
        <v>69</v>
      </c>
      <c r="C355" s="46">
        <v>15</v>
      </c>
      <c r="D355" s="2"/>
      <c r="E355" s="46" t="s">
        <v>69</v>
      </c>
      <c r="F355" s="46">
        <v>16</v>
      </c>
      <c r="H355" s="46" t="s">
        <v>69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59</v>
      </c>
      <c r="X356" s="63">
        <v>4</v>
      </c>
      <c r="Y356" s="2"/>
      <c r="Z356" s="63" t="s">
        <v>59</v>
      </c>
      <c r="AA356" s="63">
        <v>1</v>
      </c>
      <c r="AB356" s="2"/>
      <c r="AC356" s="63" t="s">
        <v>59</v>
      </c>
      <c r="AD356" s="64">
        <v>2</v>
      </c>
    </row>
    <row r="357" spans="2:30" x14ac:dyDescent="0.25">
      <c r="N357" s="58" t="s">
        <v>59</v>
      </c>
      <c r="O357" s="58">
        <v>4</v>
      </c>
      <c r="P357" s="2"/>
      <c r="Q357" s="58" t="s">
        <v>59</v>
      </c>
      <c r="R357" s="58">
        <v>1</v>
      </c>
      <c r="W357" s="63" t="s">
        <v>60</v>
      </c>
      <c r="X357" s="63">
        <v>7</v>
      </c>
      <c r="Y357" s="2"/>
      <c r="Z357" s="63" t="s">
        <v>60</v>
      </c>
      <c r="AA357" s="63">
        <v>4</v>
      </c>
      <c r="AC357" s="63" t="s">
        <v>60</v>
      </c>
      <c r="AD357" s="63">
        <v>8</v>
      </c>
    </row>
    <row r="358" spans="2:30" x14ac:dyDescent="0.25">
      <c r="N358" s="58" t="s">
        <v>60</v>
      </c>
      <c r="O358" s="58">
        <v>6</v>
      </c>
      <c r="Q358" s="58" t="s">
        <v>60</v>
      </c>
      <c r="R358" s="58">
        <v>4</v>
      </c>
      <c r="W358" s="63" t="s">
        <v>62</v>
      </c>
      <c r="X358" s="63">
        <v>8</v>
      </c>
      <c r="Y358" s="2"/>
      <c r="Z358" s="63" t="s">
        <v>62</v>
      </c>
      <c r="AA358" s="63">
        <v>7</v>
      </c>
      <c r="AC358" s="63" t="s">
        <v>62</v>
      </c>
      <c r="AD358" s="63">
        <v>10</v>
      </c>
    </row>
    <row r="359" spans="2:30" x14ac:dyDescent="0.25">
      <c r="N359" s="58" t="s">
        <v>62</v>
      </c>
      <c r="O359" s="58">
        <v>5</v>
      </c>
      <c r="Q359" s="58" t="s">
        <v>62</v>
      </c>
      <c r="R359" s="58">
        <v>7</v>
      </c>
      <c r="W359" s="63" t="s">
        <v>64</v>
      </c>
      <c r="X359" s="63">
        <v>10</v>
      </c>
      <c r="Y359" s="2"/>
      <c r="Z359" s="63" t="s">
        <v>64</v>
      </c>
      <c r="AA359" s="63">
        <v>9</v>
      </c>
      <c r="AC359" s="63" t="s">
        <v>64</v>
      </c>
      <c r="AD359" s="63">
        <v>13</v>
      </c>
    </row>
    <row r="360" spans="2:30" x14ac:dyDescent="0.25">
      <c r="N360" s="58" t="s">
        <v>64</v>
      </c>
      <c r="O360" s="58">
        <v>10</v>
      </c>
      <c r="Q360" s="58" t="s">
        <v>64</v>
      </c>
      <c r="R360" s="58">
        <v>10</v>
      </c>
      <c r="W360" s="63" t="s">
        <v>66</v>
      </c>
      <c r="X360" s="63">
        <v>14</v>
      </c>
      <c r="Y360" s="2"/>
      <c r="Z360" s="63" t="s">
        <v>66</v>
      </c>
      <c r="AA360" s="63">
        <v>15</v>
      </c>
      <c r="AC360" s="63" t="s">
        <v>71</v>
      </c>
      <c r="AD360" s="63">
        <v>16</v>
      </c>
    </row>
    <row r="361" spans="2:30" x14ac:dyDescent="0.25">
      <c r="N361" s="58" t="s">
        <v>66</v>
      </c>
      <c r="O361" s="58">
        <v>13</v>
      </c>
      <c r="Q361" s="58" t="s">
        <v>66</v>
      </c>
      <c r="R361" s="58">
        <v>14</v>
      </c>
    </row>
    <row r="362" spans="2:30" x14ac:dyDescent="0.25">
      <c r="N362" s="58" t="s">
        <v>67</v>
      </c>
      <c r="O362" s="58">
        <v>15</v>
      </c>
      <c r="Q362" s="58" t="s">
        <v>116</v>
      </c>
      <c r="R362" s="58">
        <v>16</v>
      </c>
    </row>
    <row r="365" spans="2:30" ht="26.25" x14ac:dyDescent="0.25">
      <c r="B365" s="179" t="s">
        <v>117</v>
      </c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79"/>
      <c r="O365" s="179"/>
      <c r="P365" s="179"/>
      <c r="Q365" s="179"/>
      <c r="R365" s="179"/>
      <c r="S365" s="179"/>
      <c r="T365" s="179"/>
      <c r="U365" s="179"/>
      <c r="V365" s="179"/>
      <c r="W365" s="179"/>
      <c r="X365" s="179"/>
      <c r="Y365" s="179"/>
      <c r="Z365" s="179"/>
      <c r="AA365" s="179"/>
      <c r="AB365" s="179"/>
      <c r="AC365" s="179"/>
      <c r="AD365" s="179"/>
    </row>
    <row r="367" spans="2:30" x14ac:dyDescent="0.25">
      <c r="B367" s="46" t="s">
        <v>59</v>
      </c>
      <c r="C367" s="46">
        <v>1</v>
      </c>
      <c r="D367" s="2"/>
      <c r="E367" s="46" t="s">
        <v>59</v>
      </c>
      <c r="F367" s="46">
        <v>2</v>
      </c>
      <c r="H367" s="46" t="s">
        <v>59</v>
      </c>
      <c r="I367" s="46">
        <v>3</v>
      </c>
      <c r="J367" s="2"/>
      <c r="K367" s="46" t="s">
        <v>59</v>
      </c>
      <c r="L367" s="46">
        <v>4</v>
      </c>
      <c r="N367" s="58" t="s">
        <v>59</v>
      </c>
      <c r="O367" s="58">
        <v>1</v>
      </c>
      <c r="P367" s="2"/>
      <c r="Q367" s="58" t="s">
        <v>59</v>
      </c>
      <c r="R367" s="58">
        <v>2</v>
      </c>
      <c r="T367" s="58" t="s">
        <v>59</v>
      </c>
      <c r="U367" s="58">
        <v>3</v>
      </c>
      <c r="V367" s="2"/>
      <c r="W367" s="62" t="s">
        <v>59</v>
      </c>
      <c r="X367" s="63">
        <v>1</v>
      </c>
      <c r="Y367" s="2"/>
      <c r="Z367" s="63" t="s">
        <v>59</v>
      </c>
      <c r="AA367" s="63">
        <v>2</v>
      </c>
      <c r="AB367" s="2"/>
      <c r="AC367" s="63" t="s">
        <v>59</v>
      </c>
      <c r="AD367" s="63">
        <v>3</v>
      </c>
    </row>
    <row r="368" spans="2:30" x14ac:dyDescent="0.25">
      <c r="B368" s="46" t="s">
        <v>60</v>
      </c>
      <c r="C368" s="46">
        <v>3</v>
      </c>
      <c r="D368" s="2"/>
      <c r="E368" s="46" t="s">
        <v>60</v>
      </c>
      <c r="F368" s="46">
        <v>4</v>
      </c>
      <c r="H368" s="46" t="s">
        <v>60</v>
      </c>
      <c r="I368" s="46">
        <v>2</v>
      </c>
      <c r="J368" s="2"/>
      <c r="K368" s="46" t="s">
        <v>60</v>
      </c>
      <c r="L368" s="46">
        <v>1</v>
      </c>
      <c r="N368" s="58" t="s">
        <v>60</v>
      </c>
      <c r="O368" s="58">
        <v>2</v>
      </c>
      <c r="P368" s="2"/>
      <c r="Q368" s="58" t="s">
        <v>60</v>
      </c>
      <c r="R368" s="58">
        <v>3</v>
      </c>
      <c r="T368" s="58" t="s">
        <v>60</v>
      </c>
      <c r="U368" s="58">
        <v>5</v>
      </c>
      <c r="V368" s="2"/>
      <c r="W368" s="62" t="s">
        <v>60</v>
      </c>
      <c r="X368" s="63">
        <v>5</v>
      </c>
      <c r="Y368" s="2"/>
      <c r="Z368" s="63" t="s">
        <v>60</v>
      </c>
      <c r="AA368" s="63">
        <v>3</v>
      </c>
      <c r="AC368" s="63" t="s">
        <v>60</v>
      </c>
      <c r="AD368" s="63">
        <v>6</v>
      </c>
    </row>
    <row r="369" spans="2:30" x14ac:dyDescent="0.25">
      <c r="B369" s="46" t="s">
        <v>62</v>
      </c>
      <c r="C369" s="46">
        <v>5</v>
      </c>
      <c r="D369" s="2"/>
      <c r="E369" s="46" t="s">
        <v>62</v>
      </c>
      <c r="F369" s="46">
        <v>6</v>
      </c>
      <c r="H369" s="46" t="s">
        <v>62</v>
      </c>
      <c r="I369" s="46">
        <v>7</v>
      </c>
      <c r="J369" s="2"/>
      <c r="K369" s="46" t="s">
        <v>62</v>
      </c>
      <c r="L369" s="46">
        <v>8</v>
      </c>
      <c r="N369" s="58" t="s">
        <v>62</v>
      </c>
      <c r="O369" s="58">
        <v>7</v>
      </c>
      <c r="P369" s="2"/>
      <c r="Q369" s="58" t="s">
        <v>62</v>
      </c>
      <c r="R369" s="58">
        <v>8</v>
      </c>
      <c r="T369" s="58" t="s">
        <v>62</v>
      </c>
      <c r="U369" s="58">
        <v>6</v>
      </c>
      <c r="V369" s="2"/>
      <c r="W369" s="62" t="s">
        <v>62</v>
      </c>
      <c r="X369" s="63">
        <v>6</v>
      </c>
      <c r="Y369" s="2"/>
      <c r="Z369" s="63" t="s">
        <v>62</v>
      </c>
      <c r="AA369" s="63">
        <v>5</v>
      </c>
      <c r="AC369" s="63" t="s">
        <v>62</v>
      </c>
      <c r="AD369" s="63">
        <v>9</v>
      </c>
    </row>
    <row r="370" spans="2:30" x14ac:dyDescent="0.25">
      <c r="B370" s="46" t="s">
        <v>64</v>
      </c>
      <c r="C370" s="46">
        <v>7</v>
      </c>
      <c r="D370" s="2"/>
      <c r="E370" s="46" t="s">
        <v>64</v>
      </c>
      <c r="F370" s="46">
        <v>8</v>
      </c>
      <c r="H370" s="46" t="s">
        <v>64</v>
      </c>
      <c r="I370" s="46">
        <v>6</v>
      </c>
      <c r="J370" s="2"/>
      <c r="K370" s="46" t="s">
        <v>64</v>
      </c>
      <c r="L370" s="46">
        <v>5</v>
      </c>
      <c r="N370" s="58" t="s">
        <v>64</v>
      </c>
      <c r="O370" s="58">
        <v>8</v>
      </c>
      <c r="P370" s="2"/>
      <c r="Q370" s="58" t="s">
        <v>64</v>
      </c>
      <c r="R370" s="58">
        <v>9</v>
      </c>
      <c r="T370" s="58" t="s">
        <v>64</v>
      </c>
      <c r="U370" s="58">
        <v>9</v>
      </c>
      <c r="V370" s="2"/>
      <c r="W370" s="62" t="s">
        <v>64</v>
      </c>
      <c r="X370" s="63">
        <v>11</v>
      </c>
      <c r="Y370" s="2"/>
      <c r="Z370" s="63" t="s">
        <v>64</v>
      </c>
      <c r="AA370" s="63">
        <v>12</v>
      </c>
      <c r="AC370" s="63" t="s">
        <v>64</v>
      </c>
      <c r="AD370" s="63">
        <v>11</v>
      </c>
    </row>
    <row r="371" spans="2:30" x14ac:dyDescent="0.25">
      <c r="B371" s="46" t="s">
        <v>66</v>
      </c>
      <c r="C371" s="46">
        <v>9</v>
      </c>
      <c r="D371" s="2"/>
      <c r="E371" s="46" t="s">
        <v>66</v>
      </c>
      <c r="F371" s="46">
        <v>10</v>
      </c>
      <c r="H371" s="46" t="s">
        <v>66</v>
      </c>
      <c r="I371" s="46">
        <v>11</v>
      </c>
      <c r="J371" s="2"/>
      <c r="K371" s="46" t="s">
        <v>66</v>
      </c>
      <c r="L371" s="46">
        <v>12</v>
      </c>
      <c r="N371" s="58" t="s">
        <v>66</v>
      </c>
      <c r="O371" s="58">
        <v>11</v>
      </c>
      <c r="P371" s="2"/>
      <c r="Q371" s="58" t="s">
        <v>66</v>
      </c>
      <c r="R371" s="58">
        <v>12</v>
      </c>
      <c r="T371" s="58" t="s">
        <v>66</v>
      </c>
      <c r="U371" s="58">
        <v>11</v>
      </c>
      <c r="V371" s="2"/>
      <c r="W371" s="62" t="s">
        <v>66</v>
      </c>
      <c r="X371" s="63">
        <v>12</v>
      </c>
      <c r="Y371" s="2"/>
      <c r="Z371" s="63" t="s">
        <v>66</v>
      </c>
      <c r="AA371" s="63">
        <v>13</v>
      </c>
      <c r="AC371" s="63" t="s">
        <v>66</v>
      </c>
      <c r="AD371" s="63">
        <v>14</v>
      </c>
    </row>
    <row r="372" spans="2:30" x14ac:dyDescent="0.25">
      <c r="B372" s="46" t="s">
        <v>67</v>
      </c>
      <c r="C372" s="46">
        <v>11</v>
      </c>
      <c r="D372" s="2"/>
      <c r="E372" s="46" t="s">
        <v>67</v>
      </c>
      <c r="F372" s="46">
        <v>12</v>
      </c>
      <c r="H372" s="46" t="s">
        <v>67</v>
      </c>
      <c r="I372" s="46">
        <v>10</v>
      </c>
      <c r="J372" s="2"/>
      <c r="K372" s="46" t="s">
        <v>67</v>
      </c>
      <c r="L372" s="46">
        <v>9</v>
      </c>
      <c r="N372" s="58" t="s">
        <v>67</v>
      </c>
      <c r="O372" s="58">
        <v>12</v>
      </c>
      <c r="P372" s="2"/>
      <c r="Q372" s="58" t="s">
        <v>67</v>
      </c>
      <c r="R372" s="58">
        <v>13</v>
      </c>
      <c r="T372" s="58" t="s">
        <v>67</v>
      </c>
      <c r="U372" s="58">
        <v>14</v>
      </c>
      <c r="V372" s="2"/>
      <c r="W372" s="62" t="s">
        <v>67</v>
      </c>
      <c r="X372" s="63">
        <v>15</v>
      </c>
      <c r="Z372" s="63" t="s">
        <v>67</v>
      </c>
      <c r="AA372" s="63">
        <v>16</v>
      </c>
      <c r="AD372" s="2"/>
    </row>
    <row r="373" spans="2:30" x14ac:dyDescent="0.25">
      <c r="B373" s="46" t="s">
        <v>68</v>
      </c>
      <c r="C373" s="46">
        <v>13</v>
      </c>
      <c r="D373" s="2"/>
      <c r="E373" s="46" t="s">
        <v>68</v>
      </c>
      <c r="F373" s="46">
        <v>14</v>
      </c>
      <c r="H373" s="46" t="s">
        <v>68</v>
      </c>
      <c r="I373" s="46">
        <v>15</v>
      </c>
      <c r="J373" s="2"/>
      <c r="K373" s="46" t="s">
        <v>68</v>
      </c>
      <c r="L373" s="46">
        <v>16</v>
      </c>
      <c r="N373" s="58" t="s">
        <v>68</v>
      </c>
      <c r="O373" s="58">
        <v>15</v>
      </c>
      <c r="Q373" s="58" t="s">
        <v>68</v>
      </c>
      <c r="R373" s="58">
        <v>16</v>
      </c>
      <c r="X373" s="2"/>
      <c r="AA373" s="2"/>
      <c r="AD373" s="2"/>
    </row>
    <row r="374" spans="2:30" x14ac:dyDescent="0.25">
      <c r="B374" s="46" t="s">
        <v>69</v>
      </c>
      <c r="C374" s="46">
        <v>15</v>
      </c>
      <c r="D374" s="2"/>
      <c r="E374" s="46" t="s">
        <v>69</v>
      </c>
      <c r="F374" s="46">
        <v>16</v>
      </c>
      <c r="H374" s="46" t="s">
        <v>69</v>
      </c>
      <c r="I374" s="46">
        <v>14</v>
      </c>
      <c r="J374" s="2"/>
      <c r="K374" s="46" t="s">
        <v>69</v>
      </c>
      <c r="L374" s="46">
        <v>13</v>
      </c>
      <c r="X374" s="2"/>
      <c r="AA374" s="2"/>
      <c r="AD374" s="2"/>
    </row>
    <row r="375" spans="2:30" x14ac:dyDescent="0.25">
      <c r="W375" s="62" t="s">
        <v>59</v>
      </c>
      <c r="X375" s="63">
        <v>4</v>
      </c>
      <c r="Y375" s="2"/>
      <c r="Z375" s="62" t="s">
        <v>59</v>
      </c>
      <c r="AA375" s="63">
        <v>1</v>
      </c>
      <c r="AC375" s="62" t="s">
        <v>59</v>
      </c>
      <c r="AD375" s="63">
        <v>2</v>
      </c>
    </row>
    <row r="376" spans="2:30" x14ac:dyDescent="0.25">
      <c r="N376" s="58" t="s">
        <v>59</v>
      </c>
      <c r="O376" s="58">
        <v>4</v>
      </c>
      <c r="Q376" s="58" t="s">
        <v>59</v>
      </c>
      <c r="R376" s="58">
        <v>1</v>
      </c>
      <c r="W376" s="63" t="s">
        <v>60</v>
      </c>
      <c r="X376" s="63">
        <v>7</v>
      </c>
      <c r="Y376" s="2"/>
      <c r="Z376" s="63" t="s">
        <v>60</v>
      </c>
      <c r="AA376" s="63">
        <v>4</v>
      </c>
      <c r="AC376" s="63" t="s">
        <v>60</v>
      </c>
      <c r="AD376" s="63">
        <v>8</v>
      </c>
    </row>
    <row r="377" spans="2:30" x14ac:dyDescent="0.25">
      <c r="N377" s="58" t="s">
        <v>60</v>
      </c>
      <c r="O377" s="58">
        <v>6</v>
      </c>
      <c r="Q377" s="58" t="s">
        <v>60</v>
      </c>
      <c r="R377" s="58">
        <v>4</v>
      </c>
      <c r="W377" s="63" t="s">
        <v>62</v>
      </c>
      <c r="X377" s="63">
        <v>8</v>
      </c>
      <c r="Y377" s="2"/>
      <c r="Z377" s="63" t="s">
        <v>62</v>
      </c>
      <c r="AA377" s="63">
        <v>7</v>
      </c>
      <c r="AC377" s="63" t="s">
        <v>62</v>
      </c>
      <c r="AD377" s="63">
        <v>10</v>
      </c>
    </row>
    <row r="378" spans="2:30" x14ac:dyDescent="0.25">
      <c r="N378" s="58" t="s">
        <v>62</v>
      </c>
      <c r="O378" s="58">
        <v>5</v>
      </c>
      <c r="Q378" s="58" t="s">
        <v>62</v>
      </c>
      <c r="R378" s="58">
        <v>7</v>
      </c>
      <c r="W378" s="63" t="s">
        <v>64</v>
      </c>
      <c r="X378" s="63">
        <v>10</v>
      </c>
      <c r="Y378" s="2"/>
      <c r="Z378" s="63" t="s">
        <v>64</v>
      </c>
      <c r="AA378" s="63">
        <v>9</v>
      </c>
      <c r="AC378" s="63" t="s">
        <v>64</v>
      </c>
      <c r="AD378" s="63">
        <v>13</v>
      </c>
    </row>
    <row r="379" spans="2:30" x14ac:dyDescent="0.25">
      <c r="N379" s="58" t="s">
        <v>64</v>
      </c>
      <c r="O379" s="58">
        <v>10</v>
      </c>
      <c r="Q379" s="58" t="s">
        <v>64</v>
      </c>
      <c r="R379" s="58">
        <v>10</v>
      </c>
      <c r="W379" s="63" t="s">
        <v>66</v>
      </c>
      <c r="X379" s="63">
        <v>14</v>
      </c>
      <c r="Y379" s="2"/>
      <c r="Z379" s="63" t="s">
        <v>66</v>
      </c>
      <c r="AA379" s="63">
        <v>15</v>
      </c>
      <c r="AC379" s="63" t="s">
        <v>66</v>
      </c>
      <c r="AD379" s="63">
        <v>16</v>
      </c>
    </row>
    <row r="380" spans="2:30" x14ac:dyDescent="0.25">
      <c r="N380" s="58" t="s">
        <v>66</v>
      </c>
      <c r="O380" s="58">
        <v>13</v>
      </c>
      <c r="Q380" s="58" t="s">
        <v>66</v>
      </c>
      <c r="R380" s="58">
        <v>14</v>
      </c>
    </row>
    <row r="381" spans="2:30" x14ac:dyDescent="0.25">
      <c r="N381" s="58" t="s">
        <v>67</v>
      </c>
      <c r="O381" s="58">
        <v>15</v>
      </c>
      <c r="Q381" s="58" t="s">
        <v>67</v>
      </c>
      <c r="R381" s="58">
        <v>16</v>
      </c>
    </row>
  </sheetData>
  <sheetProtection selectLockedCells="1"/>
  <mergeCells count="26"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activeCell="F30" sqref="F30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97" t="s">
        <v>131</v>
      </c>
      <c r="B1" s="198"/>
      <c r="C1" s="198"/>
      <c r="D1" s="199"/>
      <c r="E1" s="199"/>
      <c r="F1" s="198"/>
      <c r="G1" s="198"/>
      <c r="H1" s="200"/>
      <c r="I1" s="201" t="s">
        <v>132</v>
      </c>
      <c r="J1" s="202"/>
      <c r="K1" s="203" t="s">
        <v>145</v>
      </c>
      <c r="L1" s="204"/>
      <c r="M1" s="205" t="s">
        <v>133</v>
      </c>
      <c r="N1" s="206"/>
      <c r="O1" s="205">
        <v>4</v>
      </c>
      <c r="P1" s="206"/>
    </row>
    <row r="2" spans="1:23" ht="15" customHeight="1" thickTop="1" x14ac:dyDescent="0.25">
      <c r="A2" s="205" t="s">
        <v>134</v>
      </c>
      <c r="B2" s="199"/>
      <c r="C2" s="199"/>
      <c r="D2" s="208" t="s">
        <v>135</v>
      </c>
      <c r="E2" s="209"/>
      <c r="F2" s="199" t="s">
        <v>136</v>
      </c>
      <c r="G2" s="199"/>
      <c r="H2" s="199"/>
      <c r="I2" s="214" t="s">
        <v>137</v>
      </c>
      <c r="J2" s="215"/>
      <c r="K2" s="215"/>
      <c r="L2" s="215"/>
      <c r="M2" s="215"/>
      <c r="N2" s="215"/>
      <c r="O2" s="215"/>
      <c r="P2" s="216"/>
      <c r="W2" t="s">
        <v>138</v>
      </c>
    </row>
    <row r="3" spans="1:23" ht="15" customHeight="1" thickBot="1" x14ac:dyDescent="0.3">
      <c r="A3" s="207"/>
      <c r="B3" s="180"/>
      <c r="C3" s="180"/>
      <c r="D3" s="210"/>
      <c r="E3" s="211"/>
      <c r="F3" s="180"/>
      <c r="G3" s="180"/>
      <c r="H3" s="180"/>
      <c r="I3" s="217"/>
      <c r="J3" s="218"/>
      <c r="K3" s="218"/>
      <c r="L3" s="218"/>
      <c r="M3" s="218"/>
      <c r="N3" s="218"/>
      <c r="O3" s="218"/>
      <c r="P3" s="219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210"/>
      <c r="E4" s="211"/>
      <c r="F4" s="4">
        <v>1</v>
      </c>
      <c r="G4" s="66">
        <v>31</v>
      </c>
      <c r="H4" s="67">
        <v>61</v>
      </c>
      <c r="I4" s="220" t="s">
        <v>139</v>
      </c>
      <c r="J4" s="198"/>
      <c r="K4" s="198"/>
      <c r="L4" s="198"/>
      <c r="M4" s="198"/>
      <c r="N4" s="198"/>
      <c r="O4" s="198"/>
      <c r="P4" s="221"/>
    </row>
    <row r="5" spans="1:23" x14ac:dyDescent="0.25">
      <c r="A5" s="68">
        <v>2</v>
      </c>
      <c r="B5" s="60">
        <v>32</v>
      </c>
      <c r="C5" s="69">
        <v>62</v>
      </c>
      <c r="D5" s="210"/>
      <c r="E5" s="211"/>
      <c r="F5" s="68">
        <v>2</v>
      </c>
      <c r="G5" s="60">
        <v>32</v>
      </c>
      <c r="H5" s="70">
        <v>62</v>
      </c>
      <c r="I5" s="182" t="s">
        <v>125</v>
      </c>
      <c r="J5" s="183"/>
      <c r="K5" s="183"/>
      <c r="L5" s="183"/>
      <c r="M5" s="183"/>
      <c r="N5" s="183"/>
      <c r="O5" s="183"/>
      <c r="P5" s="184"/>
    </row>
    <row r="6" spans="1:23" x14ac:dyDescent="0.25">
      <c r="A6" s="68">
        <v>3</v>
      </c>
      <c r="B6" s="60">
        <v>33</v>
      </c>
      <c r="C6" s="69">
        <v>63</v>
      </c>
      <c r="D6" s="210"/>
      <c r="E6" s="211"/>
      <c r="F6" s="68">
        <v>3</v>
      </c>
      <c r="G6" s="60">
        <v>33</v>
      </c>
      <c r="H6" s="70">
        <v>63</v>
      </c>
      <c r="I6" s="185"/>
      <c r="J6" s="186"/>
      <c r="K6" s="186"/>
      <c r="L6" s="186"/>
      <c r="M6" s="186"/>
      <c r="N6" s="186"/>
      <c r="O6" s="186"/>
      <c r="P6" s="187"/>
      <c r="R6" s="191" t="s">
        <v>140</v>
      </c>
      <c r="S6" s="180" t="s">
        <v>141</v>
      </c>
      <c r="T6" s="180"/>
      <c r="U6" s="180"/>
      <c r="V6" s="180"/>
      <c r="W6" s="180"/>
    </row>
    <row r="7" spans="1:23" ht="15" customHeight="1" x14ac:dyDescent="0.25">
      <c r="A7" s="68">
        <v>4</v>
      </c>
      <c r="B7" s="60">
        <v>34</v>
      </c>
      <c r="C7" s="69">
        <v>64</v>
      </c>
      <c r="D7" s="210"/>
      <c r="E7" s="211"/>
      <c r="F7" s="68">
        <v>4</v>
      </c>
      <c r="G7" s="60">
        <v>34</v>
      </c>
      <c r="H7" s="70">
        <v>64</v>
      </c>
      <c r="I7" s="185"/>
      <c r="J7" s="186"/>
      <c r="K7" s="186"/>
      <c r="L7" s="186"/>
      <c r="M7" s="186"/>
      <c r="N7" s="186"/>
      <c r="O7" s="186"/>
      <c r="P7" s="187"/>
      <c r="R7" s="191"/>
      <c r="S7" s="181">
        <v>1</v>
      </c>
      <c r="T7" s="181"/>
      <c r="U7" s="181"/>
      <c r="V7" s="181"/>
      <c r="W7" s="181"/>
    </row>
    <row r="8" spans="1:23" x14ac:dyDescent="0.25">
      <c r="A8" s="68">
        <v>5</v>
      </c>
      <c r="B8" s="60">
        <v>35</v>
      </c>
      <c r="C8" s="69">
        <v>65</v>
      </c>
      <c r="D8" s="210"/>
      <c r="E8" s="211"/>
      <c r="F8" s="68">
        <v>5</v>
      </c>
      <c r="G8" s="60">
        <v>35</v>
      </c>
      <c r="H8" s="70">
        <v>65</v>
      </c>
      <c r="I8" s="185"/>
      <c r="J8" s="186"/>
      <c r="K8" s="186"/>
      <c r="L8" s="186"/>
      <c r="M8" s="186"/>
      <c r="N8" s="186"/>
      <c r="O8" s="186"/>
      <c r="P8" s="187"/>
      <c r="R8" s="2">
        <v>1</v>
      </c>
      <c r="S8" s="71" t="s">
        <v>119</v>
      </c>
      <c r="T8" s="72"/>
      <c r="U8" s="73" t="s">
        <v>127</v>
      </c>
      <c r="V8" s="72"/>
      <c r="W8" s="71" t="s">
        <v>120</v>
      </c>
    </row>
    <row r="9" spans="1:23" x14ac:dyDescent="0.25">
      <c r="A9" s="68">
        <v>6</v>
      </c>
      <c r="B9" s="60">
        <v>36</v>
      </c>
      <c r="C9" s="69">
        <v>66</v>
      </c>
      <c r="D9" s="210"/>
      <c r="E9" s="211"/>
      <c r="F9" s="68">
        <v>6</v>
      </c>
      <c r="G9" s="60">
        <v>36</v>
      </c>
      <c r="H9" s="70">
        <v>66</v>
      </c>
      <c r="I9" s="185"/>
      <c r="J9" s="186"/>
      <c r="K9" s="186"/>
      <c r="L9" s="186"/>
      <c r="M9" s="186"/>
      <c r="N9" s="186"/>
      <c r="O9" s="186"/>
      <c r="P9" s="187"/>
      <c r="R9" s="2">
        <v>2</v>
      </c>
      <c r="S9" s="71" t="s">
        <v>121</v>
      </c>
      <c r="T9" s="72"/>
      <c r="U9" s="73" t="s">
        <v>128</v>
      </c>
      <c r="V9" s="72"/>
      <c r="W9" s="71" t="s">
        <v>122</v>
      </c>
    </row>
    <row r="10" spans="1:23" x14ac:dyDescent="0.25">
      <c r="A10" s="68">
        <v>7</v>
      </c>
      <c r="B10" s="60">
        <v>37</v>
      </c>
      <c r="C10" s="69">
        <v>67</v>
      </c>
      <c r="D10" s="210"/>
      <c r="E10" s="211"/>
      <c r="F10" s="68">
        <v>7</v>
      </c>
      <c r="G10" s="60">
        <v>37</v>
      </c>
      <c r="H10" s="70">
        <v>67</v>
      </c>
      <c r="I10" s="185"/>
      <c r="J10" s="186"/>
      <c r="K10" s="186"/>
      <c r="L10" s="186"/>
      <c r="M10" s="186"/>
      <c r="N10" s="186"/>
      <c r="O10" s="186"/>
      <c r="P10" s="187"/>
      <c r="R10" s="2">
        <v>3</v>
      </c>
      <c r="S10" s="71" t="s">
        <v>123</v>
      </c>
      <c r="T10" s="72"/>
      <c r="U10" s="73" t="s">
        <v>129</v>
      </c>
      <c r="V10" s="72"/>
      <c r="W10" s="71" t="s">
        <v>124</v>
      </c>
    </row>
    <row r="11" spans="1:23" x14ac:dyDescent="0.25">
      <c r="A11" s="68">
        <v>8</v>
      </c>
      <c r="B11" s="60">
        <v>38</v>
      </c>
      <c r="C11" s="69">
        <v>68</v>
      </c>
      <c r="D11" s="210"/>
      <c r="E11" s="211"/>
      <c r="F11" s="68">
        <v>8</v>
      </c>
      <c r="G11" s="60">
        <v>38</v>
      </c>
      <c r="H11" s="70">
        <v>68</v>
      </c>
      <c r="I11" s="188"/>
      <c r="J11" s="189"/>
      <c r="K11" s="189"/>
      <c r="L11" s="189"/>
      <c r="M11" s="189"/>
      <c r="N11" s="189"/>
      <c r="O11" s="189"/>
      <c r="P11" s="190"/>
      <c r="R11" s="2">
        <v>4</v>
      </c>
      <c r="S11" s="71" t="s">
        <v>125</v>
      </c>
      <c r="T11" s="72"/>
      <c r="U11" s="73" t="s">
        <v>130</v>
      </c>
      <c r="V11" s="72"/>
      <c r="W11" s="71" t="s">
        <v>126</v>
      </c>
    </row>
    <row r="12" spans="1:23" x14ac:dyDescent="0.25">
      <c r="A12" s="68">
        <v>9</v>
      </c>
      <c r="B12" s="60">
        <v>39</v>
      </c>
      <c r="C12" s="69">
        <v>69</v>
      </c>
      <c r="D12" s="210"/>
      <c r="E12" s="211"/>
      <c r="F12" s="68">
        <v>9</v>
      </c>
      <c r="G12" s="60">
        <v>39</v>
      </c>
      <c r="H12" s="70">
        <v>69</v>
      </c>
      <c r="I12" s="192"/>
      <c r="J12" s="193"/>
      <c r="K12" s="193"/>
      <c r="L12" s="193"/>
      <c r="M12" s="193"/>
      <c r="N12" s="193"/>
      <c r="O12" s="193"/>
      <c r="P12" s="194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210"/>
      <c r="E13" s="211"/>
      <c r="F13" s="68">
        <v>10</v>
      </c>
      <c r="G13" s="60">
        <v>40</v>
      </c>
      <c r="H13" s="70">
        <v>70</v>
      </c>
      <c r="I13" s="195"/>
      <c r="J13" s="180"/>
      <c r="K13" s="180"/>
      <c r="L13" s="180"/>
      <c r="M13" s="180"/>
      <c r="N13" s="180"/>
      <c r="O13" s="180"/>
      <c r="P13" s="196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210"/>
      <c r="E14" s="211"/>
      <c r="F14" s="68">
        <v>11</v>
      </c>
      <c r="G14" s="60">
        <v>41</v>
      </c>
      <c r="H14" s="70">
        <v>71</v>
      </c>
      <c r="I14" s="195"/>
      <c r="J14" s="180"/>
      <c r="K14" s="180"/>
      <c r="L14" s="180"/>
      <c r="M14" s="180"/>
      <c r="N14" s="180"/>
      <c r="O14" s="180"/>
      <c r="P14" s="196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210"/>
      <c r="E15" s="211"/>
      <c r="F15" s="68">
        <v>12</v>
      </c>
      <c r="G15" s="60">
        <v>42</v>
      </c>
      <c r="H15" s="70">
        <v>72</v>
      </c>
      <c r="I15" s="195"/>
      <c r="J15" s="180"/>
      <c r="K15" s="180"/>
      <c r="L15" s="180"/>
      <c r="M15" s="180"/>
      <c r="N15" s="180"/>
      <c r="O15" s="180"/>
      <c r="P15" s="196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210"/>
      <c r="E16" s="211"/>
      <c r="F16" s="68">
        <v>13</v>
      </c>
      <c r="G16" s="60">
        <v>43</v>
      </c>
      <c r="H16" s="70">
        <v>73</v>
      </c>
      <c r="I16" s="195"/>
      <c r="J16" s="180"/>
      <c r="K16" s="180"/>
      <c r="L16" s="180"/>
      <c r="M16" s="180"/>
      <c r="N16" s="180"/>
      <c r="O16" s="180"/>
      <c r="P16" s="196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210"/>
      <c r="E17" s="211"/>
      <c r="F17" s="68">
        <v>14</v>
      </c>
      <c r="G17" s="60">
        <v>44</v>
      </c>
      <c r="H17" s="70">
        <v>74</v>
      </c>
      <c r="I17" s="195"/>
      <c r="J17" s="180"/>
      <c r="K17" s="180"/>
      <c r="L17" s="180"/>
      <c r="M17" s="180"/>
      <c r="N17" s="180"/>
      <c r="O17" s="180"/>
      <c r="P17" s="196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210"/>
      <c r="E18" s="211"/>
      <c r="F18" s="68">
        <v>15</v>
      </c>
      <c r="G18" s="60">
        <v>45</v>
      </c>
      <c r="H18" s="70">
        <v>75</v>
      </c>
      <c r="I18" s="225" t="s">
        <v>142</v>
      </c>
      <c r="J18" s="226"/>
      <c r="K18" s="226"/>
      <c r="L18" s="226"/>
      <c r="M18" s="226"/>
      <c r="N18" s="226"/>
      <c r="O18" s="226"/>
      <c r="P18" s="227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210"/>
      <c r="E19" s="211"/>
      <c r="F19" s="68">
        <v>16</v>
      </c>
      <c r="G19" s="60">
        <v>46</v>
      </c>
      <c r="H19" s="70">
        <v>76</v>
      </c>
      <c r="I19" s="228"/>
      <c r="J19" s="229"/>
      <c r="K19" s="229"/>
      <c r="L19" s="229"/>
      <c r="M19" s="229"/>
      <c r="N19" s="229"/>
      <c r="O19" s="229"/>
      <c r="P19" s="230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210"/>
      <c r="E20" s="211"/>
      <c r="F20" s="68">
        <v>17</v>
      </c>
      <c r="G20" s="60">
        <v>47</v>
      </c>
      <c r="H20" s="70">
        <v>77</v>
      </c>
      <c r="I20" s="231"/>
      <c r="J20" s="232"/>
      <c r="K20" s="232"/>
      <c r="L20" s="232"/>
      <c r="M20" s="232"/>
      <c r="N20" s="232"/>
      <c r="O20" s="232"/>
      <c r="P20" s="233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210"/>
      <c r="E21" s="211"/>
      <c r="F21" s="68">
        <v>18</v>
      </c>
      <c r="G21" s="60">
        <v>48</v>
      </c>
      <c r="H21" s="70">
        <v>78</v>
      </c>
      <c r="I21" s="231"/>
      <c r="J21" s="232"/>
      <c r="K21" s="232"/>
      <c r="L21" s="232"/>
      <c r="M21" s="232"/>
      <c r="N21" s="232"/>
      <c r="O21" s="232"/>
      <c r="P21" s="233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210"/>
      <c r="E22" s="211"/>
      <c r="F22" s="68">
        <v>19</v>
      </c>
      <c r="G22" s="60">
        <v>49</v>
      </c>
      <c r="H22" s="70">
        <v>79</v>
      </c>
      <c r="I22" s="231"/>
      <c r="J22" s="232"/>
      <c r="K22" s="232"/>
      <c r="L22" s="232"/>
      <c r="M22" s="232"/>
      <c r="N22" s="232"/>
      <c r="O22" s="232"/>
      <c r="P22" s="233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210"/>
      <c r="E23" s="211"/>
      <c r="F23" s="68">
        <v>20</v>
      </c>
      <c r="G23" s="60">
        <v>50</v>
      </c>
      <c r="H23" s="70">
        <v>80</v>
      </c>
      <c r="I23" s="231"/>
      <c r="J23" s="232"/>
      <c r="K23" s="232"/>
      <c r="L23" s="232"/>
      <c r="M23" s="232"/>
      <c r="N23" s="232"/>
      <c r="O23" s="232"/>
      <c r="P23" s="233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210"/>
      <c r="E24" s="211"/>
      <c r="F24" s="68">
        <v>21</v>
      </c>
      <c r="G24" s="60">
        <v>51</v>
      </c>
      <c r="H24" s="70">
        <v>81</v>
      </c>
      <c r="I24" s="231"/>
      <c r="J24" s="232"/>
      <c r="K24" s="232"/>
      <c r="L24" s="232"/>
      <c r="M24" s="232"/>
      <c r="N24" s="232"/>
      <c r="O24" s="232"/>
      <c r="P24" s="233"/>
    </row>
    <row r="25" spans="1:36" ht="15" customHeight="1" x14ac:dyDescent="0.25">
      <c r="A25" s="68">
        <v>22</v>
      </c>
      <c r="B25" s="60">
        <v>52</v>
      </c>
      <c r="C25" s="69">
        <v>82</v>
      </c>
      <c r="D25" s="210"/>
      <c r="E25" s="211"/>
      <c r="F25" s="68">
        <v>22</v>
      </c>
      <c r="G25" s="60">
        <v>52</v>
      </c>
      <c r="H25" s="70">
        <v>82</v>
      </c>
      <c r="I25" s="234"/>
      <c r="J25" s="235"/>
      <c r="K25" s="235"/>
      <c r="L25" s="235"/>
      <c r="M25" s="235"/>
      <c r="N25" s="235"/>
      <c r="O25" s="235"/>
      <c r="P25" s="236"/>
    </row>
    <row r="26" spans="1:36" ht="15" customHeight="1" x14ac:dyDescent="0.25">
      <c r="A26" s="68">
        <v>23</v>
      </c>
      <c r="B26" s="60">
        <v>53</v>
      </c>
      <c r="C26" s="69">
        <v>83</v>
      </c>
      <c r="D26" s="210"/>
      <c r="E26" s="211"/>
      <c r="F26" s="68">
        <v>23</v>
      </c>
      <c r="G26" s="60">
        <v>53</v>
      </c>
      <c r="H26" s="70">
        <v>83</v>
      </c>
      <c r="I26" s="237" t="s">
        <v>126</v>
      </c>
      <c r="J26" s="238"/>
      <c r="K26" s="238"/>
      <c r="L26" s="238"/>
      <c r="M26" s="238"/>
      <c r="N26" s="238"/>
      <c r="O26" s="238"/>
      <c r="P26" s="239"/>
    </row>
    <row r="27" spans="1:36" ht="15" customHeight="1" x14ac:dyDescent="0.25">
      <c r="A27" s="68">
        <v>24</v>
      </c>
      <c r="B27" s="60">
        <v>54</v>
      </c>
      <c r="C27" s="69">
        <v>84</v>
      </c>
      <c r="D27" s="210"/>
      <c r="E27" s="211"/>
      <c r="F27" s="68">
        <v>24</v>
      </c>
      <c r="G27" s="60">
        <v>54</v>
      </c>
      <c r="H27" s="70">
        <v>84</v>
      </c>
      <c r="I27" s="185"/>
      <c r="J27" s="186"/>
      <c r="K27" s="186"/>
      <c r="L27" s="186"/>
      <c r="M27" s="186"/>
      <c r="N27" s="186"/>
      <c r="O27" s="186"/>
      <c r="P27" s="187"/>
    </row>
    <row r="28" spans="1:36" ht="15" customHeight="1" x14ac:dyDescent="0.25">
      <c r="A28" s="68">
        <v>25</v>
      </c>
      <c r="B28" s="60">
        <v>55</v>
      </c>
      <c r="C28" s="69">
        <v>85</v>
      </c>
      <c r="D28" s="210"/>
      <c r="E28" s="211"/>
      <c r="F28" s="68">
        <v>25</v>
      </c>
      <c r="G28" s="60">
        <v>55</v>
      </c>
      <c r="H28" s="70">
        <v>85</v>
      </c>
      <c r="I28" s="185"/>
      <c r="J28" s="186"/>
      <c r="K28" s="186"/>
      <c r="L28" s="186"/>
      <c r="M28" s="186"/>
      <c r="N28" s="186"/>
      <c r="O28" s="186"/>
      <c r="P28" s="187"/>
    </row>
    <row r="29" spans="1:36" ht="15" customHeight="1" x14ac:dyDescent="0.25">
      <c r="A29" s="68">
        <v>26</v>
      </c>
      <c r="B29" s="60">
        <v>56</v>
      </c>
      <c r="C29" s="69">
        <v>86</v>
      </c>
      <c r="D29" s="210"/>
      <c r="E29" s="211"/>
      <c r="F29" s="68">
        <v>26</v>
      </c>
      <c r="G29" s="60">
        <v>56</v>
      </c>
      <c r="H29" s="70">
        <v>86</v>
      </c>
      <c r="I29" s="185"/>
      <c r="J29" s="186"/>
      <c r="K29" s="186"/>
      <c r="L29" s="186"/>
      <c r="M29" s="186"/>
      <c r="N29" s="186"/>
      <c r="O29" s="186"/>
      <c r="P29" s="187"/>
      <c r="AJ29" t="s">
        <v>143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210"/>
      <c r="E30" s="211"/>
      <c r="F30" s="68">
        <v>27</v>
      </c>
      <c r="G30" s="60">
        <v>57</v>
      </c>
      <c r="H30" s="70">
        <v>87</v>
      </c>
      <c r="I30" s="185"/>
      <c r="J30" s="186"/>
      <c r="K30" s="186"/>
      <c r="L30" s="186"/>
      <c r="M30" s="186"/>
      <c r="N30" s="186"/>
      <c r="O30" s="186"/>
      <c r="P30" s="187"/>
    </row>
    <row r="31" spans="1:36" ht="15" customHeight="1" x14ac:dyDescent="0.25">
      <c r="A31" s="68">
        <v>28</v>
      </c>
      <c r="B31" s="60">
        <v>58</v>
      </c>
      <c r="C31" s="69">
        <v>88</v>
      </c>
      <c r="D31" s="210"/>
      <c r="E31" s="211"/>
      <c r="F31" s="68">
        <v>28</v>
      </c>
      <c r="G31" s="60">
        <v>58</v>
      </c>
      <c r="H31" s="70">
        <v>88</v>
      </c>
      <c r="I31" s="185"/>
      <c r="J31" s="186"/>
      <c r="K31" s="186"/>
      <c r="L31" s="186"/>
      <c r="M31" s="186"/>
      <c r="N31" s="186"/>
      <c r="O31" s="186"/>
      <c r="P31" s="187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210"/>
      <c r="E32" s="211"/>
      <c r="F32" s="68">
        <v>29</v>
      </c>
      <c r="G32" s="60">
        <v>59</v>
      </c>
      <c r="H32" s="70">
        <v>89</v>
      </c>
      <c r="I32" s="240"/>
      <c r="J32" s="139"/>
      <c r="K32" s="139"/>
      <c r="L32" s="139"/>
      <c r="M32" s="139"/>
      <c r="N32" s="139"/>
      <c r="O32" s="139"/>
      <c r="P32" s="241"/>
    </row>
    <row r="33" spans="1:16" ht="15.75" thickBot="1" x14ac:dyDescent="0.3">
      <c r="A33" s="74">
        <v>30</v>
      </c>
      <c r="B33" s="75">
        <v>60</v>
      </c>
      <c r="C33" s="76">
        <v>90</v>
      </c>
      <c r="D33" s="212"/>
      <c r="E33" s="213"/>
      <c r="F33" s="74">
        <v>30</v>
      </c>
      <c r="G33" s="75">
        <v>60</v>
      </c>
      <c r="H33" s="77">
        <v>90</v>
      </c>
      <c r="I33" s="222" t="s">
        <v>144</v>
      </c>
      <c r="J33" s="223"/>
      <c r="K33" s="223"/>
      <c r="L33" s="223"/>
      <c r="M33" s="223"/>
      <c r="N33" s="223"/>
      <c r="O33" s="223"/>
      <c r="P33" s="224"/>
    </row>
  </sheetData>
  <mergeCells count="19">
    <mergeCell ref="A2:C3"/>
    <mergeCell ref="D2:E33"/>
    <mergeCell ref="F2:H3"/>
    <mergeCell ref="I2:P3"/>
    <mergeCell ref="I4:P4"/>
    <mergeCell ref="I33:P33"/>
    <mergeCell ref="I18:P19"/>
    <mergeCell ref="I20:P25"/>
    <mergeCell ref="I26:P32"/>
    <mergeCell ref="A1:H1"/>
    <mergeCell ref="I1:J1"/>
    <mergeCell ref="K1:L1"/>
    <mergeCell ref="M1:N1"/>
    <mergeCell ref="O1:P1"/>
    <mergeCell ref="S6:W6"/>
    <mergeCell ref="S7:W7"/>
    <mergeCell ref="I5:P11"/>
    <mergeCell ref="R6:R7"/>
    <mergeCell ref="I12:P17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091AE-034D-4C13-B711-437E7002CBD5}">
  <sheetPr codeName="Feuil6"/>
  <dimension ref="A1:XEU162"/>
  <sheetViews>
    <sheetView showZeros="0" zoomScale="55" zoomScaleNormal="55" zoomScaleSheetLayoutView="40" zoomScalePageLayoutView="50" workbookViewId="0">
      <selection activeCell="S9" sqref="S9"/>
    </sheetView>
  </sheetViews>
  <sheetFormatPr baseColWidth="10" defaultColWidth="11.5703125" defaultRowHeight="12.75" x14ac:dyDescent="0.2"/>
  <cols>
    <col min="1" max="2" width="5.5703125" style="80" customWidth="1"/>
    <col min="3" max="3" width="20.5703125" style="80" customWidth="1"/>
    <col min="4" max="4" width="4.140625" style="80" customWidth="1"/>
    <col min="5" max="5" width="18" style="80" customWidth="1"/>
    <col min="6" max="6" width="3.5703125" style="80" customWidth="1"/>
    <col min="7" max="7" width="18" style="80" customWidth="1"/>
    <col min="8" max="8" width="4" style="80" customWidth="1"/>
    <col min="9" max="9" width="16.85546875" style="80" customWidth="1"/>
    <col min="10" max="10" width="3.5703125" style="80" customWidth="1"/>
    <col min="11" max="11" width="5" style="80" customWidth="1"/>
    <col min="12" max="12" width="19.28515625" style="80" customWidth="1"/>
    <col min="13" max="13" width="3.7109375" style="80" customWidth="1"/>
    <col min="14" max="14" width="15.7109375" style="80" customWidth="1"/>
    <col min="15" max="15" width="6.28515625" style="80" customWidth="1"/>
    <col min="16" max="16" width="5.42578125" style="80" customWidth="1"/>
    <col min="17" max="17" width="18" style="80" customWidth="1"/>
    <col min="18" max="18" width="12.85546875" style="80" customWidth="1"/>
    <col min="19" max="19" width="24.7109375" style="80" customWidth="1"/>
    <col min="20" max="20" width="4.28515625" style="80" customWidth="1"/>
    <col min="21" max="21" width="12" style="80" customWidth="1"/>
    <col min="22" max="22" width="20.42578125" style="80" customWidth="1"/>
    <col min="23" max="23" width="4.5703125" style="80" customWidth="1"/>
    <col min="24" max="24" width="6.28515625" style="80" customWidth="1"/>
    <col min="25" max="25" width="18" style="80" customWidth="1"/>
    <col min="26" max="26" width="4.28515625" style="80" customWidth="1"/>
    <col min="27" max="27" width="18" style="80" customWidth="1"/>
    <col min="28" max="28" width="4.5703125" style="80" customWidth="1"/>
    <col min="29" max="29" width="2.85546875" style="80" customWidth="1"/>
    <col min="30" max="30" width="16.85546875" style="80" customWidth="1"/>
    <col min="31" max="31" width="4" style="80" customWidth="1"/>
    <col min="32" max="32" width="18" style="80" customWidth="1"/>
    <col min="33" max="33" width="3.5703125" style="80" customWidth="1"/>
    <col min="34" max="34" width="17.85546875" style="80" customWidth="1"/>
    <col min="35" max="35" width="4.140625" style="80" customWidth="1"/>
    <col min="36" max="36" width="18.85546875" style="80" customWidth="1"/>
    <col min="37" max="37" width="5.5703125" style="80" customWidth="1"/>
    <col min="38" max="38" width="4.5703125" style="80" customWidth="1"/>
    <col min="39" max="16384" width="11.5703125" style="80"/>
  </cols>
  <sheetData>
    <row r="1" spans="1:51 16374:16375" s="79" customFormat="1" ht="33.200000000000003" customHeight="1" x14ac:dyDescent="0.4">
      <c r="A1" s="101"/>
      <c r="B1" s="101"/>
      <c r="C1" s="102"/>
      <c r="D1" s="101"/>
      <c r="E1" s="101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7"/>
      <c r="T1" s="87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XET1" s="80"/>
      <c r="XEU1" s="80"/>
    </row>
    <row r="2" spans="1:51 16374:16375" s="79" customFormat="1" ht="33.200000000000003" customHeight="1" x14ac:dyDescent="0.4">
      <c r="A2" s="101"/>
      <c r="B2" s="101"/>
      <c r="C2" s="102" t="s">
        <v>207</v>
      </c>
      <c r="D2" s="101"/>
      <c r="E2" s="101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7"/>
      <c r="T2" s="87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XET2" s="80"/>
      <c r="XEU2" s="80"/>
    </row>
    <row r="3" spans="1:51 16374:16375" s="79" customFormat="1" ht="141.75" customHeight="1" x14ac:dyDescent="0.2">
      <c r="A3" s="85"/>
      <c r="B3" s="256" t="s">
        <v>185</v>
      </c>
      <c r="C3" s="256"/>
      <c r="D3" s="256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  <c r="AA3" s="256"/>
      <c r="AB3" s="256"/>
      <c r="AC3" s="256"/>
      <c r="AD3" s="256"/>
      <c r="AE3" s="256"/>
      <c r="AF3" s="256"/>
      <c r="AG3" s="256"/>
      <c r="AH3" s="256"/>
      <c r="AI3" s="256"/>
      <c r="AJ3" s="256"/>
      <c r="AK3" s="88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XET3" s="80"/>
      <c r="XEU3" s="80"/>
    </row>
    <row r="4" spans="1:51 16374:16375" s="79" customFormat="1" ht="33.200000000000003" customHeight="1" thickBot="1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7"/>
      <c r="T4" s="87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XET4" s="80"/>
      <c r="XEU4" s="80"/>
    </row>
    <row r="5" spans="1:51 16374:16375" s="81" customFormat="1" ht="43.35" customHeight="1" thickTop="1" x14ac:dyDescent="0.2">
      <c r="A5" s="85"/>
      <c r="B5" s="285" t="s">
        <v>186</v>
      </c>
      <c r="C5" s="286"/>
      <c r="D5" s="286"/>
      <c r="E5" s="286"/>
      <c r="F5" s="286"/>
      <c r="G5" s="286"/>
      <c r="H5" s="286"/>
      <c r="I5" s="287"/>
      <c r="J5" s="89"/>
      <c r="K5" s="288" t="s">
        <v>187</v>
      </c>
      <c r="L5" s="289"/>
      <c r="M5" s="289"/>
      <c r="N5" s="290"/>
      <c r="O5" s="89"/>
      <c r="P5" s="285" t="s">
        <v>188</v>
      </c>
      <c r="Q5" s="287"/>
      <c r="R5" s="90"/>
      <c r="S5" s="170" t="s">
        <v>42</v>
      </c>
      <c r="T5" s="171"/>
      <c r="U5" s="89"/>
      <c r="V5" s="285" t="s">
        <v>189</v>
      </c>
      <c r="W5" s="287"/>
      <c r="X5" s="89"/>
      <c r="Y5" s="288" t="s">
        <v>190</v>
      </c>
      <c r="Z5" s="289"/>
      <c r="AA5" s="289"/>
      <c r="AB5" s="290"/>
      <c r="AC5" s="91"/>
      <c r="AD5" s="285" t="s">
        <v>191</v>
      </c>
      <c r="AE5" s="286"/>
      <c r="AF5" s="286"/>
      <c r="AG5" s="286"/>
      <c r="AH5" s="286"/>
      <c r="AI5" s="286"/>
      <c r="AJ5" s="286"/>
      <c r="AK5" s="287"/>
      <c r="AL5" s="91"/>
      <c r="AM5" s="91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XET5" s="80"/>
      <c r="XEU5" s="80"/>
    </row>
    <row r="6" spans="1:51 16374:16375" s="81" customFormat="1" ht="43.35" customHeight="1" x14ac:dyDescent="0.2">
      <c r="A6" s="85"/>
      <c r="B6" s="281" t="s">
        <v>192</v>
      </c>
      <c r="C6" s="255"/>
      <c r="D6" s="255" t="s">
        <v>193</v>
      </c>
      <c r="E6" s="255"/>
      <c r="F6" s="255" t="s">
        <v>194</v>
      </c>
      <c r="G6" s="255"/>
      <c r="H6" s="255" t="s">
        <v>195</v>
      </c>
      <c r="I6" s="282"/>
      <c r="J6" s="92"/>
      <c r="K6" s="283" t="s">
        <v>196</v>
      </c>
      <c r="L6" s="255"/>
      <c r="M6" s="255" t="s">
        <v>197</v>
      </c>
      <c r="N6" s="284"/>
      <c r="O6" s="93"/>
      <c r="P6" s="281" t="s">
        <v>198</v>
      </c>
      <c r="Q6" s="282"/>
      <c r="R6" s="93"/>
      <c r="S6" s="172" t="s">
        <v>199</v>
      </c>
      <c r="T6" s="173"/>
      <c r="U6" s="93"/>
      <c r="V6" s="281" t="s">
        <v>200</v>
      </c>
      <c r="W6" s="282"/>
      <c r="X6" s="93"/>
      <c r="Y6" s="283" t="s">
        <v>201</v>
      </c>
      <c r="Z6" s="255"/>
      <c r="AA6" s="255" t="s">
        <v>202</v>
      </c>
      <c r="AB6" s="284"/>
      <c r="AC6" s="93"/>
      <c r="AD6" s="281" t="s">
        <v>203</v>
      </c>
      <c r="AE6" s="255"/>
      <c r="AF6" s="255" t="s">
        <v>204</v>
      </c>
      <c r="AG6" s="255"/>
      <c r="AH6" s="255" t="s">
        <v>205</v>
      </c>
      <c r="AI6" s="255"/>
      <c r="AJ6" s="255" t="s">
        <v>206</v>
      </c>
      <c r="AK6" s="282"/>
      <c r="AL6" s="91"/>
      <c r="AM6" s="91"/>
      <c r="AN6" s="91"/>
      <c r="AO6" s="91"/>
      <c r="AP6" s="91"/>
      <c r="AQ6" s="91"/>
      <c r="AR6" s="91"/>
      <c r="AS6" s="91"/>
      <c r="AT6" s="91"/>
      <c r="AU6" s="91"/>
      <c r="AV6" s="91"/>
      <c r="AW6" s="91"/>
      <c r="AX6" s="91"/>
      <c r="AY6" s="91"/>
      <c r="XET6" s="80"/>
      <c r="XEU6" s="80"/>
    </row>
    <row r="7" spans="1:51 16374:16375" s="79" customFormat="1" ht="49.5" customHeight="1" thickBot="1" x14ac:dyDescent="0.4">
      <c r="A7" s="85"/>
      <c r="B7" s="296" t="s">
        <v>225</v>
      </c>
      <c r="C7" s="291"/>
      <c r="D7" s="291" t="s">
        <v>226</v>
      </c>
      <c r="E7" s="291"/>
      <c r="F7" s="293" t="s">
        <v>227</v>
      </c>
      <c r="G7" s="293"/>
      <c r="H7" s="293" t="s">
        <v>228</v>
      </c>
      <c r="I7" s="295"/>
      <c r="J7" s="85"/>
      <c r="K7" s="106"/>
      <c r="L7" s="87"/>
      <c r="M7" s="87"/>
      <c r="N7" s="116"/>
      <c r="O7" s="85"/>
      <c r="P7" s="303" t="s">
        <v>225</v>
      </c>
      <c r="Q7" s="304"/>
      <c r="R7" s="85"/>
      <c r="S7" s="174" t="s">
        <v>225</v>
      </c>
      <c r="T7" s="175"/>
      <c r="U7" s="85"/>
      <c r="V7" s="303" t="s">
        <v>225</v>
      </c>
      <c r="W7" s="304"/>
      <c r="X7" s="85"/>
      <c r="Y7" s="106"/>
      <c r="Z7" s="87"/>
      <c r="AA7" s="87"/>
      <c r="AB7" s="108"/>
      <c r="AC7" s="85"/>
      <c r="AD7" s="294" t="s">
        <v>228</v>
      </c>
      <c r="AE7" s="293"/>
      <c r="AF7" s="293" t="s">
        <v>227</v>
      </c>
      <c r="AG7" s="293"/>
      <c r="AH7" s="291" t="s">
        <v>226</v>
      </c>
      <c r="AI7" s="291"/>
      <c r="AJ7" s="291" t="s">
        <v>225</v>
      </c>
      <c r="AK7" s="292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XET7" s="80"/>
      <c r="XEU7" s="80"/>
    </row>
    <row r="8" spans="1:51 16374:16375" s="79" customFormat="1" ht="40.15" customHeight="1" thickBot="1" x14ac:dyDescent="0.4">
      <c r="A8" s="85"/>
      <c r="B8" s="103"/>
      <c r="C8" s="85"/>
      <c r="D8" s="85"/>
      <c r="E8" s="85"/>
      <c r="F8" s="85"/>
      <c r="G8" s="85"/>
      <c r="H8" s="85"/>
      <c r="I8" s="104"/>
      <c r="J8" s="85"/>
      <c r="K8" s="306" t="s">
        <v>225</v>
      </c>
      <c r="L8" s="299"/>
      <c r="M8" s="85"/>
      <c r="N8" s="108"/>
      <c r="O8" s="85"/>
      <c r="P8" s="262"/>
      <c r="Q8" s="263" t="str">
        <f>IF(T8="0",S8,IF(T8="1",S9,""))</f>
        <v/>
      </c>
      <c r="R8" s="85"/>
      <c r="S8" s="117"/>
      <c r="T8" s="134"/>
      <c r="U8" s="85"/>
      <c r="V8" s="264" t="str">
        <f>IF(T8="1",S8,IF(T8="0",S9,""))</f>
        <v/>
      </c>
      <c r="W8" s="265"/>
      <c r="X8" s="85"/>
      <c r="Y8" s="106"/>
      <c r="Z8" s="85"/>
      <c r="AA8" s="299" t="s">
        <v>225</v>
      </c>
      <c r="AB8" s="300"/>
      <c r="AC8" s="85"/>
      <c r="AD8" s="103"/>
      <c r="AE8" s="85"/>
      <c r="AF8" s="85"/>
      <c r="AG8" s="85"/>
      <c r="AH8" s="85"/>
      <c r="AI8" s="85"/>
      <c r="AJ8" s="85"/>
      <c r="AK8" s="104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XET8" s="80"/>
      <c r="XEU8" s="80"/>
    </row>
    <row r="9" spans="1:51 16374:16375" s="79" customFormat="1" ht="40.15" customHeight="1" thickBot="1" x14ac:dyDescent="0.25">
      <c r="A9" s="85"/>
      <c r="B9" s="103"/>
      <c r="C9" s="85"/>
      <c r="D9" s="85"/>
      <c r="E9" s="85"/>
      <c r="F9" s="85"/>
      <c r="G9" s="85"/>
      <c r="H9" s="85"/>
      <c r="I9" s="104"/>
      <c r="J9" s="85"/>
      <c r="K9" s="269"/>
      <c r="L9" s="271" t="str">
        <f>IF(P8="1",Q8,IF(P8="0",Q12,""))</f>
        <v/>
      </c>
      <c r="M9" s="85"/>
      <c r="N9" s="108"/>
      <c r="O9" s="85"/>
      <c r="P9" s="262"/>
      <c r="Q9" s="263"/>
      <c r="R9" s="85"/>
      <c r="S9" s="117"/>
      <c r="T9" s="134"/>
      <c r="U9" s="85"/>
      <c r="V9" s="264"/>
      <c r="W9" s="265"/>
      <c r="X9" s="85"/>
      <c r="Y9" s="106"/>
      <c r="Z9" s="85"/>
      <c r="AA9" s="271" t="str">
        <f>IF(W8="1",V8,IF(W8="0",V12,""))</f>
        <v/>
      </c>
      <c r="AB9" s="273"/>
      <c r="AC9" s="85"/>
      <c r="AD9" s="103"/>
      <c r="AE9" s="85"/>
      <c r="AF9" s="85"/>
      <c r="AG9" s="85"/>
      <c r="AH9" s="85"/>
      <c r="AI9" s="85"/>
      <c r="AJ9" s="85"/>
      <c r="AK9" s="104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XET9" s="80"/>
      <c r="XEU9" s="80"/>
    </row>
    <row r="10" spans="1:51 16374:16375" s="79" customFormat="1" ht="16.350000000000001" customHeight="1" thickBot="1" x14ac:dyDescent="0.25">
      <c r="A10" s="85"/>
      <c r="B10" s="103"/>
      <c r="C10" s="85"/>
      <c r="D10" s="85"/>
      <c r="E10" s="85"/>
      <c r="F10" s="85"/>
      <c r="G10" s="85"/>
      <c r="H10" s="85"/>
      <c r="I10" s="104"/>
      <c r="J10" s="85"/>
      <c r="K10" s="269"/>
      <c r="L10" s="271"/>
      <c r="M10" s="85"/>
      <c r="N10" s="108"/>
      <c r="O10" s="85"/>
      <c r="P10" s="112"/>
      <c r="Q10" s="104"/>
      <c r="R10" s="85"/>
      <c r="S10" s="114"/>
      <c r="T10" s="119"/>
      <c r="U10" s="85"/>
      <c r="V10" s="103"/>
      <c r="W10" s="125"/>
      <c r="X10" s="85"/>
      <c r="Y10" s="106"/>
      <c r="Z10" s="85"/>
      <c r="AA10" s="271"/>
      <c r="AB10" s="273"/>
      <c r="AC10" s="85"/>
      <c r="AD10" s="103"/>
      <c r="AE10" s="85"/>
      <c r="AF10" s="85"/>
      <c r="AG10" s="85"/>
      <c r="AH10" s="85"/>
      <c r="AI10" s="85"/>
      <c r="AJ10" s="85"/>
      <c r="AK10" s="104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XET10" s="80"/>
      <c r="XEU10" s="80"/>
    </row>
    <row r="11" spans="1:51 16374:16375" s="79" customFormat="1" ht="22.35" customHeight="1" thickBot="1" x14ac:dyDescent="0.25">
      <c r="A11" s="85"/>
      <c r="B11" s="103"/>
      <c r="C11" s="85"/>
      <c r="D11" s="85"/>
      <c r="E11" s="85"/>
      <c r="F11" s="85"/>
      <c r="G11" s="85"/>
      <c r="H11" s="85"/>
      <c r="I11" s="104"/>
      <c r="J11" s="85"/>
      <c r="K11" s="269"/>
      <c r="L11" s="271"/>
      <c r="M11" s="85"/>
      <c r="N11" s="108"/>
      <c r="O11" s="85"/>
      <c r="P11" s="112"/>
      <c r="Q11" s="104"/>
      <c r="R11" s="85"/>
      <c r="S11" s="168" t="s">
        <v>226</v>
      </c>
      <c r="T11" s="169"/>
      <c r="U11" s="85"/>
      <c r="V11" s="103"/>
      <c r="W11" s="125"/>
      <c r="X11" s="85"/>
      <c r="Y11" s="106"/>
      <c r="Z11" s="85"/>
      <c r="AA11" s="271"/>
      <c r="AB11" s="273"/>
      <c r="AC11" s="85"/>
      <c r="AD11" s="103"/>
      <c r="AE11" s="85"/>
      <c r="AF11" s="85"/>
      <c r="AG11" s="85"/>
      <c r="AH11" s="85"/>
      <c r="AI11" s="85"/>
      <c r="AJ11" s="85"/>
      <c r="AK11" s="104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XET11" s="80"/>
      <c r="XEU11" s="80"/>
    </row>
    <row r="12" spans="1:51 16374:16375" s="79" customFormat="1" ht="40.15" customHeight="1" thickBot="1" x14ac:dyDescent="0.4">
      <c r="A12" s="85"/>
      <c r="B12" s="103"/>
      <c r="C12" s="85"/>
      <c r="D12" s="85"/>
      <c r="E12" s="85"/>
      <c r="F12" s="85"/>
      <c r="G12" s="85"/>
      <c r="H12" s="85"/>
      <c r="I12" s="104"/>
      <c r="J12" s="85"/>
      <c r="K12" s="107"/>
      <c r="L12" s="85"/>
      <c r="M12" s="85"/>
      <c r="N12" s="108"/>
      <c r="O12" s="85"/>
      <c r="P12" s="262"/>
      <c r="Q12" s="263" t="str">
        <f>IF(T12="0",S12,IF(T12="1",S13,""))</f>
        <v/>
      </c>
      <c r="R12" s="85"/>
      <c r="S12" s="117"/>
      <c r="T12" s="134"/>
      <c r="U12" s="85"/>
      <c r="V12" s="264" t="str">
        <f>IF(T12="1",S12,IF(T12="0",S13,""))</f>
        <v/>
      </c>
      <c r="W12" s="265"/>
      <c r="X12" s="85"/>
      <c r="Y12" s="106"/>
      <c r="Z12" s="85"/>
      <c r="AA12" s="85"/>
      <c r="AB12" s="123"/>
      <c r="AC12" s="85"/>
      <c r="AD12" s="103"/>
      <c r="AE12" s="85"/>
      <c r="AF12" s="109"/>
      <c r="AG12" s="85"/>
      <c r="AH12" s="85"/>
      <c r="AI12" s="85"/>
      <c r="AJ12" s="85"/>
      <c r="AK12" s="104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XET12" s="80"/>
      <c r="XEU12" s="80"/>
    </row>
    <row r="13" spans="1:51 16374:16375" s="79" customFormat="1" ht="40.15" customHeight="1" thickBot="1" x14ac:dyDescent="0.25">
      <c r="A13" s="85"/>
      <c r="B13" s="262"/>
      <c r="C13" s="266" t="str">
        <f>IF(K9="1",L9,IF(K9="0",L19,""))</f>
        <v/>
      </c>
      <c r="D13" s="85"/>
      <c r="E13" s="85"/>
      <c r="F13" s="258"/>
      <c r="G13" s="249" t="str">
        <f>IF(M13="1",N13,IF(M13="0",N16,""))</f>
        <v/>
      </c>
      <c r="H13" s="85"/>
      <c r="I13" s="104"/>
      <c r="J13" s="85"/>
      <c r="K13" s="107"/>
      <c r="L13" s="85"/>
      <c r="M13" s="258"/>
      <c r="N13" s="279" t="str">
        <f>IF(P8="0",Q8,IF(P8="1",Q12,""))</f>
        <v/>
      </c>
      <c r="O13" s="85"/>
      <c r="P13" s="262"/>
      <c r="Q13" s="263"/>
      <c r="R13" s="85"/>
      <c r="S13" s="117"/>
      <c r="T13" s="134"/>
      <c r="U13" s="85"/>
      <c r="V13" s="264"/>
      <c r="W13" s="265"/>
      <c r="X13" s="85"/>
      <c r="Y13" s="261" t="str">
        <f>IF(W8="0",V8,IF(W8="1",V12,""))</f>
        <v/>
      </c>
      <c r="Z13" s="258"/>
      <c r="AA13" s="85"/>
      <c r="AB13" s="123"/>
      <c r="AC13" s="85"/>
      <c r="AD13" s="103"/>
      <c r="AE13" s="85"/>
      <c r="AF13" s="249" t="str">
        <f>IF(Z13="1",Y13,IF(Z13="0",Y16,""))</f>
        <v/>
      </c>
      <c r="AG13" s="258"/>
      <c r="AH13" s="85"/>
      <c r="AI13" s="85"/>
      <c r="AJ13" s="266" t="str">
        <f>IF(AB9="1",AA9,IF(W8="0",AA19,""))</f>
        <v/>
      </c>
      <c r="AK13" s="267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XET13" s="80"/>
      <c r="XEU13" s="80"/>
    </row>
    <row r="14" spans="1:51 16374:16375" s="79" customFormat="1" ht="21.75" customHeight="1" thickBot="1" x14ac:dyDescent="0.25">
      <c r="A14" s="85"/>
      <c r="B14" s="262"/>
      <c r="C14" s="266"/>
      <c r="D14" s="85"/>
      <c r="E14" s="85"/>
      <c r="F14" s="258"/>
      <c r="G14" s="249"/>
      <c r="H14" s="85"/>
      <c r="I14" s="104"/>
      <c r="J14" s="85"/>
      <c r="K14" s="107"/>
      <c r="L14" s="85"/>
      <c r="M14" s="258"/>
      <c r="N14" s="279"/>
      <c r="O14" s="85"/>
      <c r="P14" s="112"/>
      <c r="Q14" s="104"/>
      <c r="R14" s="85"/>
      <c r="S14" s="114"/>
      <c r="T14" s="119"/>
      <c r="U14" s="85"/>
      <c r="V14" s="103"/>
      <c r="W14" s="125"/>
      <c r="X14" s="85"/>
      <c r="Y14" s="261"/>
      <c r="Z14" s="258"/>
      <c r="AA14" s="85"/>
      <c r="AB14" s="123"/>
      <c r="AC14" s="85"/>
      <c r="AD14" s="103"/>
      <c r="AE14" s="85"/>
      <c r="AF14" s="249"/>
      <c r="AG14" s="258"/>
      <c r="AH14" s="85"/>
      <c r="AI14" s="85"/>
      <c r="AJ14" s="266"/>
      <c r="AK14" s="267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XET14" s="80"/>
      <c r="XEU14" s="80"/>
    </row>
    <row r="15" spans="1:51 16374:16375" s="79" customFormat="1" ht="26.25" customHeight="1" thickBot="1" x14ac:dyDescent="0.35">
      <c r="A15" s="85"/>
      <c r="B15" s="262"/>
      <c r="C15" s="266"/>
      <c r="D15" s="85"/>
      <c r="E15" s="85"/>
      <c r="F15" s="94"/>
      <c r="G15" s="85"/>
      <c r="H15" s="85"/>
      <c r="I15" s="104"/>
      <c r="J15" s="85"/>
      <c r="K15" s="107"/>
      <c r="L15" s="85"/>
      <c r="M15" s="298" t="s">
        <v>227</v>
      </c>
      <c r="N15" s="305"/>
      <c r="O15" s="85"/>
      <c r="P15" s="112"/>
      <c r="Q15" s="104"/>
      <c r="R15" s="85"/>
      <c r="S15" s="114"/>
      <c r="T15" s="119"/>
      <c r="U15" s="85"/>
      <c r="V15" s="103"/>
      <c r="W15" s="125"/>
      <c r="X15" s="85"/>
      <c r="Y15" s="297" t="s">
        <v>227</v>
      </c>
      <c r="Z15" s="298"/>
      <c r="AA15" s="85"/>
      <c r="AB15" s="123"/>
      <c r="AC15" s="85"/>
      <c r="AD15" s="103"/>
      <c r="AE15" s="85"/>
      <c r="AF15" s="85"/>
      <c r="AG15" s="95"/>
      <c r="AH15" s="85"/>
      <c r="AI15" s="85"/>
      <c r="AJ15" s="266"/>
      <c r="AK15" s="267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XET15" s="80"/>
      <c r="XEU15" s="80"/>
    </row>
    <row r="16" spans="1:51 16374:16375" s="79" customFormat="1" ht="24" customHeight="1" thickBot="1" x14ac:dyDescent="0.4">
      <c r="A16" s="85"/>
      <c r="B16" s="262"/>
      <c r="C16" s="266"/>
      <c r="D16" s="85"/>
      <c r="E16" s="85"/>
      <c r="F16" s="94"/>
      <c r="G16" s="85"/>
      <c r="H16" s="258"/>
      <c r="I16" s="259" t="str">
        <f>IF(M13="0",N13,IF(M13="1",N16,""))</f>
        <v/>
      </c>
      <c r="J16" s="85"/>
      <c r="K16" s="107"/>
      <c r="L16" s="85"/>
      <c r="M16" s="258"/>
      <c r="N16" s="260" t="str">
        <f>IF(P17="0",Q17,IF(P17="1",Q21,""))</f>
        <v/>
      </c>
      <c r="O16" s="85"/>
      <c r="P16" s="301" t="s">
        <v>226</v>
      </c>
      <c r="Q16" s="302"/>
      <c r="R16" s="85"/>
      <c r="S16" s="168" t="s">
        <v>227</v>
      </c>
      <c r="T16" s="169"/>
      <c r="U16" s="85"/>
      <c r="V16" s="301" t="s">
        <v>226</v>
      </c>
      <c r="W16" s="302"/>
      <c r="X16" s="85"/>
      <c r="Y16" s="261" t="str">
        <f>IF(W17="0",V17,IF(W17="1",V21,""))</f>
        <v/>
      </c>
      <c r="Z16" s="258"/>
      <c r="AA16" s="85"/>
      <c r="AB16" s="123"/>
      <c r="AC16" s="85"/>
      <c r="AD16" s="268" t="str">
        <f>IF(Z13="0",Y13,IF(Z13="1",Y16,""))</f>
        <v/>
      </c>
      <c r="AE16" s="258"/>
      <c r="AF16" s="85"/>
      <c r="AG16" s="95"/>
      <c r="AH16" s="85"/>
      <c r="AI16" s="85"/>
      <c r="AJ16" s="266"/>
      <c r="AK16" s="267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XET16" s="80"/>
      <c r="XEU16" s="80"/>
    </row>
    <row r="17" spans="1:51 16374:16375" s="79" customFormat="1" ht="40.15" customHeight="1" thickBot="1" x14ac:dyDescent="0.25">
      <c r="A17" s="85"/>
      <c r="B17" s="262"/>
      <c r="C17" s="266"/>
      <c r="D17" s="85"/>
      <c r="E17" s="85"/>
      <c r="F17" s="94"/>
      <c r="G17" s="85"/>
      <c r="H17" s="258"/>
      <c r="I17" s="259"/>
      <c r="J17" s="85"/>
      <c r="K17" s="107"/>
      <c r="L17" s="85"/>
      <c r="M17" s="258"/>
      <c r="N17" s="260"/>
      <c r="O17" s="85"/>
      <c r="P17" s="262"/>
      <c r="Q17" s="263" t="str">
        <f>IF(T17="0",S17,IF(T17="1",S18,""))</f>
        <v/>
      </c>
      <c r="R17" s="85"/>
      <c r="S17" s="117"/>
      <c r="T17" s="134"/>
      <c r="U17" s="85"/>
      <c r="V17" s="264" t="str">
        <f>IF(T17="1",S17,IF(T17="0",S18,""))</f>
        <v/>
      </c>
      <c r="W17" s="265"/>
      <c r="X17" s="85"/>
      <c r="Y17" s="261"/>
      <c r="Z17" s="258"/>
      <c r="AA17" s="85"/>
      <c r="AB17" s="123"/>
      <c r="AC17" s="85"/>
      <c r="AD17" s="268"/>
      <c r="AE17" s="258"/>
      <c r="AF17" s="85"/>
      <c r="AG17" s="95"/>
      <c r="AH17" s="85"/>
      <c r="AI17" s="85"/>
      <c r="AJ17" s="266"/>
      <c r="AK17" s="267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XET17" s="80"/>
      <c r="XEU17" s="80"/>
    </row>
    <row r="18" spans="1:51 16374:16375" s="79" customFormat="1" ht="40.15" customHeight="1" thickBot="1" x14ac:dyDescent="0.25">
      <c r="A18" s="85"/>
      <c r="B18" s="105"/>
      <c r="C18" s="85"/>
      <c r="D18" s="85"/>
      <c r="E18" s="85"/>
      <c r="F18" s="94"/>
      <c r="G18" s="85"/>
      <c r="H18" s="94"/>
      <c r="I18" s="104"/>
      <c r="J18" s="85"/>
      <c r="K18" s="107"/>
      <c r="L18" s="85"/>
      <c r="M18" s="94"/>
      <c r="N18" s="108"/>
      <c r="O18" s="85"/>
      <c r="P18" s="262"/>
      <c r="Q18" s="263"/>
      <c r="R18" s="85"/>
      <c r="S18" s="117"/>
      <c r="T18" s="134"/>
      <c r="U18" s="85"/>
      <c r="V18" s="264"/>
      <c r="W18" s="265"/>
      <c r="X18" s="85"/>
      <c r="Y18" s="106"/>
      <c r="Z18" s="94"/>
      <c r="AA18" s="85"/>
      <c r="AB18" s="123"/>
      <c r="AC18" s="85"/>
      <c r="AD18" s="103"/>
      <c r="AE18" s="95"/>
      <c r="AF18" s="85"/>
      <c r="AG18" s="95"/>
      <c r="AH18" s="85"/>
      <c r="AI18" s="85"/>
      <c r="AJ18" s="85"/>
      <c r="AK18" s="126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XET18" s="80"/>
      <c r="XEU18" s="80"/>
    </row>
    <row r="19" spans="1:51 16374:16375" s="79" customFormat="1" ht="30.2" customHeight="1" thickBot="1" x14ac:dyDescent="0.25">
      <c r="A19" s="85"/>
      <c r="B19" s="105"/>
      <c r="C19" s="85"/>
      <c r="D19" s="258"/>
      <c r="E19" s="251" t="str">
        <f>IF(K9="0",L9,IF(K9="1",L19,""))</f>
        <v/>
      </c>
      <c r="F19" s="94"/>
      <c r="G19" s="85"/>
      <c r="H19" s="94"/>
      <c r="I19" s="104"/>
      <c r="J19" s="85"/>
      <c r="K19" s="269"/>
      <c r="L19" s="271" t="str">
        <f>IF(P17="1",Q17,IF(P17="0",Q21,""))</f>
        <v/>
      </c>
      <c r="M19" s="94"/>
      <c r="N19" s="108"/>
      <c r="O19" s="85"/>
      <c r="P19" s="112"/>
      <c r="Q19" s="104"/>
      <c r="R19" s="85"/>
      <c r="S19" s="114"/>
      <c r="T19" s="119"/>
      <c r="U19" s="85"/>
      <c r="V19" s="103"/>
      <c r="W19" s="125"/>
      <c r="X19" s="85"/>
      <c r="Y19" s="106"/>
      <c r="Z19" s="94"/>
      <c r="AA19" s="271" t="str">
        <f>IF(W17="1",V17,IF(W17="0",V21,""))</f>
        <v/>
      </c>
      <c r="AB19" s="273"/>
      <c r="AC19" s="85"/>
      <c r="AD19" s="103"/>
      <c r="AE19" s="95"/>
      <c r="AF19" s="85"/>
      <c r="AG19" s="95"/>
      <c r="AH19" s="251" t="str">
        <f>IF(AB9="0",AA9,IF(AB9="1",AA19,""))</f>
        <v/>
      </c>
      <c r="AI19" s="258"/>
      <c r="AJ19" s="85"/>
      <c r="AK19" s="126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XET19" s="80"/>
      <c r="XEU19" s="80"/>
    </row>
    <row r="20" spans="1:51 16374:16375" s="79" customFormat="1" ht="16.149999999999999" customHeight="1" thickBot="1" x14ac:dyDescent="0.25">
      <c r="A20" s="85"/>
      <c r="B20" s="105"/>
      <c r="C20" s="85"/>
      <c r="D20" s="258"/>
      <c r="E20" s="251"/>
      <c r="F20" s="94"/>
      <c r="G20" s="85"/>
      <c r="H20" s="94"/>
      <c r="I20" s="104"/>
      <c r="J20" s="85"/>
      <c r="K20" s="269"/>
      <c r="L20" s="271"/>
      <c r="M20" s="94"/>
      <c r="N20" s="108"/>
      <c r="O20" s="85"/>
      <c r="P20" s="112"/>
      <c r="Q20" s="104"/>
      <c r="R20" s="85"/>
      <c r="S20" s="168" t="s">
        <v>228</v>
      </c>
      <c r="T20" s="169"/>
      <c r="U20" s="85"/>
      <c r="V20" s="103"/>
      <c r="W20" s="125"/>
      <c r="X20" s="85"/>
      <c r="Y20" s="106"/>
      <c r="Z20" s="94"/>
      <c r="AA20" s="271"/>
      <c r="AB20" s="273"/>
      <c r="AC20" s="85"/>
      <c r="AD20" s="103"/>
      <c r="AE20" s="95"/>
      <c r="AF20" s="85"/>
      <c r="AG20" s="95"/>
      <c r="AH20" s="251"/>
      <c r="AI20" s="258"/>
      <c r="AJ20" s="85"/>
      <c r="AK20" s="126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XET20" s="80"/>
      <c r="XEU20" s="80"/>
    </row>
    <row r="21" spans="1:51 16374:16375" s="79" customFormat="1" ht="40.15" customHeight="1" thickBot="1" x14ac:dyDescent="0.25">
      <c r="A21" s="85"/>
      <c r="B21" s="105"/>
      <c r="C21" s="85"/>
      <c r="D21" s="258"/>
      <c r="E21" s="251"/>
      <c r="F21" s="94"/>
      <c r="G21" s="85"/>
      <c r="H21" s="94"/>
      <c r="I21" s="104"/>
      <c r="J21" s="85"/>
      <c r="K21" s="269"/>
      <c r="L21" s="271"/>
      <c r="M21" s="94"/>
      <c r="N21" s="108"/>
      <c r="O21" s="85"/>
      <c r="P21" s="262"/>
      <c r="Q21" s="263" t="str">
        <f>IF(T21="0",S21,IF(T21="1",S22,""))</f>
        <v/>
      </c>
      <c r="R21" s="85"/>
      <c r="S21" s="117"/>
      <c r="T21" s="134"/>
      <c r="U21" s="85"/>
      <c r="V21" s="264" t="str">
        <f>IF(T21="1",S21,IF(T21="0",S22,""))</f>
        <v/>
      </c>
      <c r="W21" s="265"/>
      <c r="X21" s="85"/>
      <c r="Y21" s="106"/>
      <c r="Z21" s="94"/>
      <c r="AA21" s="271"/>
      <c r="AB21" s="273"/>
      <c r="AC21" s="85"/>
      <c r="AD21" s="103"/>
      <c r="AE21" s="95"/>
      <c r="AF21" s="85"/>
      <c r="AG21" s="95"/>
      <c r="AH21" s="251"/>
      <c r="AI21" s="258"/>
      <c r="AJ21" s="85"/>
      <c r="AK21" s="126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XET21" s="80"/>
      <c r="XEU21" s="80"/>
    </row>
    <row r="22" spans="1:51 16374:16375" s="79" customFormat="1" ht="40.15" customHeight="1" thickBot="1" x14ac:dyDescent="0.25">
      <c r="A22" s="85"/>
      <c r="B22" s="105"/>
      <c r="C22" s="85"/>
      <c r="D22" s="258"/>
      <c r="E22" s="251"/>
      <c r="F22" s="94"/>
      <c r="G22" s="85"/>
      <c r="H22" s="94"/>
      <c r="I22" s="104"/>
      <c r="J22" s="85"/>
      <c r="K22" s="107"/>
      <c r="L22" s="85"/>
      <c r="M22" s="94"/>
      <c r="N22" s="108"/>
      <c r="O22" s="85"/>
      <c r="P22" s="262"/>
      <c r="Q22" s="263"/>
      <c r="R22" s="85"/>
      <c r="S22" s="117"/>
      <c r="T22" s="134"/>
      <c r="U22" s="85"/>
      <c r="V22" s="264"/>
      <c r="W22" s="265"/>
      <c r="X22" s="85"/>
      <c r="Y22" s="106"/>
      <c r="Z22" s="94"/>
      <c r="AA22" s="85"/>
      <c r="AB22" s="123"/>
      <c r="AC22" s="85"/>
      <c r="AD22" s="103"/>
      <c r="AE22" s="95"/>
      <c r="AF22" s="98"/>
      <c r="AG22" s="95"/>
      <c r="AH22" s="251"/>
      <c r="AI22" s="258"/>
      <c r="AJ22" s="85"/>
      <c r="AK22" s="126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XET22" s="80"/>
      <c r="XEU22" s="80"/>
    </row>
    <row r="23" spans="1:51 16374:16375" s="79" customFormat="1" ht="27.75" customHeight="1" x14ac:dyDescent="0.2">
      <c r="A23" s="85"/>
      <c r="B23" s="105"/>
      <c r="C23" s="85"/>
      <c r="D23" s="95"/>
      <c r="E23" s="85"/>
      <c r="F23" s="94"/>
      <c r="G23" s="85"/>
      <c r="H23" s="94"/>
      <c r="I23" s="104"/>
      <c r="J23" s="85"/>
      <c r="K23" s="107"/>
      <c r="L23" s="85"/>
      <c r="M23" s="94"/>
      <c r="N23" s="108"/>
      <c r="O23" s="85"/>
      <c r="P23" s="112"/>
      <c r="Q23" s="104"/>
      <c r="R23" s="85"/>
      <c r="S23" s="114"/>
      <c r="T23" s="119"/>
      <c r="U23" s="85"/>
      <c r="V23" s="103"/>
      <c r="W23" s="125"/>
      <c r="X23" s="85"/>
      <c r="Y23" s="106"/>
      <c r="Z23" s="94"/>
      <c r="AA23" s="85"/>
      <c r="AB23" s="123"/>
      <c r="AC23" s="85"/>
      <c r="AD23" s="103"/>
      <c r="AE23" s="95"/>
      <c r="AF23" s="85"/>
      <c r="AG23" s="95"/>
      <c r="AH23" s="85"/>
      <c r="AI23" s="95"/>
      <c r="AJ23" s="85"/>
      <c r="AK23" s="126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XET23" s="80"/>
      <c r="XEU23" s="80"/>
    </row>
    <row r="24" spans="1:51 16374:16375" s="79" customFormat="1" ht="23.25" x14ac:dyDescent="0.2">
      <c r="A24" s="85"/>
      <c r="B24" s="105"/>
      <c r="C24" s="85"/>
      <c r="D24" s="95"/>
      <c r="E24" s="85"/>
      <c r="F24" s="94"/>
      <c r="G24" s="85"/>
      <c r="H24" s="94"/>
      <c r="I24" s="104"/>
      <c r="J24" s="85"/>
      <c r="K24" s="107"/>
      <c r="L24" s="85"/>
      <c r="M24" s="94"/>
      <c r="N24" s="108"/>
      <c r="O24" s="85"/>
      <c r="P24" s="112"/>
      <c r="Q24" s="104"/>
      <c r="R24" s="85"/>
      <c r="S24" s="114"/>
      <c r="T24" s="119"/>
      <c r="U24" s="85"/>
      <c r="V24" s="103"/>
      <c r="W24" s="125"/>
      <c r="X24" s="85"/>
      <c r="Y24" s="106"/>
      <c r="Z24" s="94"/>
      <c r="AA24" s="85"/>
      <c r="AB24" s="123"/>
      <c r="AC24" s="85"/>
      <c r="AD24" s="103"/>
      <c r="AE24" s="95"/>
      <c r="AF24" s="85"/>
      <c r="AG24" s="95"/>
      <c r="AH24" s="85"/>
      <c r="AI24" s="95"/>
      <c r="AJ24" s="85"/>
      <c r="AK24" s="126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XET24" s="80"/>
      <c r="XEU24" s="80"/>
    </row>
    <row r="25" spans="1:51 16374:16375" s="79" customFormat="1" ht="24" thickBot="1" x14ac:dyDescent="0.4">
      <c r="A25" s="85"/>
      <c r="B25" s="105"/>
      <c r="C25" s="85"/>
      <c r="D25" s="95"/>
      <c r="E25" s="85"/>
      <c r="F25" s="94"/>
      <c r="G25" s="85"/>
      <c r="H25" s="94"/>
      <c r="I25" s="104"/>
      <c r="J25" s="85"/>
      <c r="K25" s="107"/>
      <c r="L25" s="85"/>
      <c r="M25" s="94"/>
      <c r="N25" s="108"/>
      <c r="O25" s="85"/>
      <c r="P25" s="301" t="s">
        <v>227</v>
      </c>
      <c r="Q25" s="302"/>
      <c r="R25" s="85"/>
      <c r="S25" s="168" t="s">
        <v>225</v>
      </c>
      <c r="T25" s="169"/>
      <c r="U25" s="85"/>
      <c r="V25" s="301" t="s">
        <v>227</v>
      </c>
      <c r="W25" s="302"/>
      <c r="X25" s="85"/>
      <c r="Y25" s="106"/>
      <c r="Z25" s="94"/>
      <c r="AA25" s="85"/>
      <c r="AB25" s="123"/>
      <c r="AC25" s="85"/>
      <c r="AD25" s="103"/>
      <c r="AE25" s="95"/>
      <c r="AF25" s="85"/>
      <c r="AG25" s="95"/>
      <c r="AH25" s="85"/>
      <c r="AI25" s="95"/>
      <c r="AJ25" s="85"/>
      <c r="AK25" s="126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XET25" s="80"/>
      <c r="XEU25" s="80"/>
    </row>
    <row r="26" spans="1:51 16374:16375" s="79" customFormat="1" ht="40.15" customHeight="1" thickBot="1" x14ac:dyDescent="0.4">
      <c r="A26" s="85"/>
      <c r="B26" s="105"/>
      <c r="C26" s="85"/>
      <c r="D26" s="258"/>
      <c r="E26" s="251" t="str">
        <f>IF(K27="0",L27,IF(K27="1",L37,""))</f>
        <v/>
      </c>
      <c r="F26" s="94"/>
      <c r="G26" s="85"/>
      <c r="H26" s="94"/>
      <c r="I26" s="104"/>
      <c r="J26" s="85"/>
      <c r="K26" s="306" t="s">
        <v>226</v>
      </c>
      <c r="L26" s="299"/>
      <c r="M26" s="94"/>
      <c r="N26" s="108"/>
      <c r="O26" s="85"/>
      <c r="P26" s="262"/>
      <c r="Q26" s="263" t="str">
        <f>IF(T26="0",S26,IF(T26="1",S27,""))</f>
        <v/>
      </c>
      <c r="R26" s="85"/>
      <c r="S26" s="117"/>
      <c r="T26" s="134"/>
      <c r="U26" s="85"/>
      <c r="V26" s="264" t="str">
        <f>IF(T26="1",S26,IF(T26="0",S27,""))</f>
        <v/>
      </c>
      <c r="W26" s="265"/>
      <c r="X26" s="85"/>
      <c r="Y26" s="106"/>
      <c r="Z26" s="94"/>
      <c r="AA26" s="299" t="s">
        <v>226</v>
      </c>
      <c r="AB26" s="300"/>
      <c r="AC26" s="85"/>
      <c r="AD26" s="103"/>
      <c r="AE26" s="95"/>
      <c r="AF26" s="85"/>
      <c r="AG26" s="95"/>
      <c r="AH26" s="251" t="str">
        <f>IF(AB27="0",AA27,IF(AB27="1",AA37,""))</f>
        <v/>
      </c>
      <c r="AI26" s="258"/>
      <c r="AJ26" s="85"/>
      <c r="AK26" s="126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XET26" s="80"/>
      <c r="XEU26" s="80"/>
    </row>
    <row r="27" spans="1:51 16374:16375" s="79" customFormat="1" ht="40.15" customHeight="1" thickBot="1" x14ac:dyDescent="0.25">
      <c r="A27" s="85"/>
      <c r="B27" s="105"/>
      <c r="C27" s="85"/>
      <c r="D27" s="258"/>
      <c r="E27" s="251"/>
      <c r="F27" s="94"/>
      <c r="G27" s="85"/>
      <c r="H27" s="94"/>
      <c r="I27" s="104"/>
      <c r="J27" s="85"/>
      <c r="K27" s="269"/>
      <c r="L27" s="271" t="str">
        <f>IF(P26="1",Q26,IF(P26="0",Q30,""))</f>
        <v/>
      </c>
      <c r="M27" s="94"/>
      <c r="N27" s="108"/>
      <c r="O27" s="85"/>
      <c r="P27" s="262"/>
      <c r="Q27" s="263"/>
      <c r="R27" s="85"/>
      <c r="S27" s="117"/>
      <c r="T27" s="134"/>
      <c r="U27" s="85"/>
      <c r="V27" s="264"/>
      <c r="W27" s="265"/>
      <c r="X27" s="85"/>
      <c r="Y27" s="106"/>
      <c r="Z27" s="94"/>
      <c r="AA27" s="271" t="str">
        <f>IF(W26="1",V26,IF(W26="0",V30,""))</f>
        <v/>
      </c>
      <c r="AB27" s="280"/>
      <c r="AC27" s="85"/>
      <c r="AD27" s="103"/>
      <c r="AE27" s="95"/>
      <c r="AF27" s="85"/>
      <c r="AG27" s="95"/>
      <c r="AH27" s="251"/>
      <c r="AI27" s="258"/>
      <c r="AJ27" s="85"/>
      <c r="AK27" s="126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XET27" s="80"/>
      <c r="XEU27" s="80"/>
    </row>
    <row r="28" spans="1:51 16374:16375" s="79" customFormat="1" ht="16.350000000000001" customHeight="1" thickBot="1" x14ac:dyDescent="0.25">
      <c r="A28" s="85"/>
      <c r="B28" s="105"/>
      <c r="C28" s="85"/>
      <c r="D28" s="258"/>
      <c r="E28" s="251"/>
      <c r="F28" s="94"/>
      <c r="G28" s="85"/>
      <c r="H28" s="94"/>
      <c r="I28" s="104"/>
      <c r="J28" s="85"/>
      <c r="K28" s="269"/>
      <c r="L28" s="271"/>
      <c r="M28" s="94"/>
      <c r="N28" s="108"/>
      <c r="O28" s="85"/>
      <c r="P28" s="112"/>
      <c r="Q28" s="104"/>
      <c r="R28" s="85"/>
      <c r="S28" s="114"/>
      <c r="T28" s="119"/>
      <c r="U28" s="85"/>
      <c r="V28" s="103"/>
      <c r="W28" s="125"/>
      <c r="X28" s="85"/>
      <c r="Y28" s="106"/>
      <c r="Z28" s="94"/>
      <c r="AA28" s="271"/>
      <c r="AB28" s="280"/>
      <c r="AC28" s="85"/>
      <c r="AD28" s="103"/>
      <c r="AE28" s="95"/>
      <c r="AF28" s="85"/>
      <c r="AG28" s="95"/>
      <c r="AH28" s="251"/>
      <c r="AI28" s="258"/>
      <c r="AJ28" s="85"/>
      <c r="AK28" s="126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XET28" s="80"/>
      <c r="XEU28" s="80"/>
    </row>
    <row r="29" spans="1:51 16374:16375" s="79" customFormat="1" ht="22.35" customHeight="1" thickBot="1" x14ac:dyDescent="0.25">
      <c r="A29" s="85"/>
      <c r="B29" s="105"/>
      <c r="C29" s="85"/>
      <c r="D29" s="258"/>
      <c r="E29" s="251"/>
      <c r="F29" s="94"/>
      <c r="G29" s="85"/>
      <c r="H29" s="94"/>
      <c r="I29" s="104"/>
      <c r="J29" s="85"/>
      <c r="K29" s="269"/>
      <c r="L29" s="271"/>
      <c r="M29" s="94"/>
      <c r="N29" s="108"/>
      <c r="O29" s="85"/>
      <c r="P29" s="112"/>
      <c r="Q29" s="104"/>
      <c r="R29" s="85"/>
      <c r="S29" s="168" t="s">
        <v>226</v>
      </c>
      <c r="T29" s="169"/>
      <c r="U29" s="85"/>
      <c r="V29" s="103"/>
      <c r="W29" s="125"/>
      <c r="X29" s="85"/>
      <c r="Y29" s="106"/>
      <c r="Z29" s="94"/>
      <c r="AA29" s="271"/>
      <c r="AB29" s="280"/>
      <c r="AC29" s="85"/>
      <c r="AD29" s="103"/>
      <c r="AE29" s="95"/>
      <c r="AF29" s="85"/>
      <c r="AG29" s="95"/>
      <c r="AH29" s="251"/>
      <c r="AI29" s="258"/>
      <c r="AJ29" s="85"/>
      <c r="AK29" s="126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XET29" s="80"/>
      <c r="XEU29" s="80"/>
    </row>
    <row r="30" spans="1:51 16374:16375" s="79" customFormat="1" ht="40.15" customHeight="1" thickBot="1" x14ac:dyDescent="0.25">
      <c r="A30" s="85"/>
      <c r="B30" s="105"/>
      <c r="C30" s="85"/>
      <c r="D30" s="85"/>
      <c r="E30" s="85"/>
      <c r="F30" s="94"/>
      <c r="G30" s="85"/>
      <c r="H30" s="94"/>
      <c r="I30" s="104"/>
      <c r="J30" s="85"/>
      <c r="K30" s="107"/>
      <c r="L30" s="85"/>
      <c r="M30" s="94"/>
      <c r="N30" s="108"/>
      <c r="O30" s="85"/>
      <c r="P30" s="262"/>
      <c r="Q30" s="263" t="str">
        <f>IF(T30="0",S30,IF(T30="1",S31,""))</f>
        <v/>
      </c>
      <c r="R30" s="85"/>
      <c r="S30" s="117"/>
      <c r="T30" s="134"/>
      <c r="U30" s="85"/>
      <c r="V30" s="264" t="str">
        <f>IF(T30="1",S30,IF(T30="0",S31,""))</f>
        <v/>
      </c>
      <c r="W30" s="265"/>
      <c r="X30" s="85"/>
      <c r="Y30" s="106"/>
      <c r="Z30" s="94"/>
      <c r="AA30" s="85"/>
      <c r="AB30" s="123"/>
      <c r="AC30" s="85"/>
      <c r="AD30" s="103"/>
      <c r="AE30" s="95"/>
      <c r="AF30" s="85"/>
      <c r="AG30" s="95"/>
      <c r="AH30" s="85"/>
      <c r="AI30" s="85"/>
      <c r="AJ30" s="85"/>
      <c r="AK30" s="126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XET30" s="80"/>
      <c r="XEU30" s="80"/>
    </row>
    <row r="31" spans="1:51 16374:16375" s="79" customFormat="1" ht="40.15" customHeight="1" thickBot="1" x14ac:dyDescent="0.25">
      <c r="A31" s="85"/>
      <c r="B31" s="262"/>
      <c r="C31" s="266" t="str">
        <f>IF(K27="1",L27,IF(K27="0",L37,""))</f>
        <v/>
      </c>
      <c r="D31" s="85"/>
      <c r="E31" s="85"/>
      <c r="F31" s="258"/>
      <c r="G31" s="249" t="str">
        <f>IF(M31="1",N31,IF(M31="0",N34,""))</f>
        <v/>
      </c>
      <c r="H31" s="94"/>
      <c r="I31" s="104"/>
      <c r="J31" s="85"/>
      <c r="K31" s="107"/>
      <c r="L31" s="85"/>
      <c r="M31" s="258"/>
      <c r="N31" s="279" t="str">
        <f>IF(P26="0",Q26,IF(P26="1",Q30,""))</f>
        <v/>
      </c>
      <c r="O31" s="85"/>
      <c r="P31" s="262"/>
      <c r="Q31" s="263"/>
      <c r="R31" s="85"/>
      <c r="S31" s="117"/>
      <c r="T31" s="134"/>
      <c r="U31" s="85"/>
      <c r="V31" s="264"/>
      <c r="W31" s="265"/>
      <c r="X31" s="85"/>
      <c r="Y31" s="261" t="str">
        <f>IF(W26="0",V26,IF(W26="1",V30,""))</f>
        <v/>
      </c>
      <c r="Z31" s="245"/>
      <c r="AA31" s="85"/>
      <c r="AB31" s="123"/>
      <c r="AC31" s="85"/>
      <c r="AD31" s="103"/>
      <c r="AE31" s="95"/>
      <c r="AF31" s="249" t="str">
        <f>IF(Z31="1",Y31,IF(Z31="0",Y34,""))</f>
        <v/>
      </c>
      <c r="AG31" s="258"/>
      <c r="AH31" s="85"/>
      <c r="AI31" s="85"/>
      <c r="AJ31" s="266" t="str">
        <f>IF(AB27="1",AA27,IF(W26="0",AA37,""))</f>
        <v/>
      </c>
      <c r="AK31" s="267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XET31" s="80"/>
      <c r="XEU31" s="80"/>
    </row>
    <row r="32" spans="1:51 16374:16375" s="79" customFormat="1" ht="21.75" customHeight="1" thickBot="1" x14ac:dyDescent="0.25">
      <c r="A32" s="85"/>
      <c r="B32" s="262"/>
      <c r="C32" s="266"/>
      <c r="D32" s="85"/>
      <c r="E32" s="85"/>
      <c r="F32" s="258"/>
      <c r="G32" s="249"/>
      <c r="H32" s="94"/>
      <c r="I32" s="104"/>
      <c r="J32" s="85"/>
      <c r="K32" s="107"/>
      <c r="L32" s="85"/>
      <c r="M32" s="258"/>
      <c r="N32" s="279"/>
      <c r="O32" s="85"/>
      <c r="P32" s="112"/>
      <c r="Q32" s="104"/>
      <c r="R32" s="85"/>
      <c r="S32" s="114"/>
      <c r="T32" s="119"/>
      <c r="U32" s="85"/>
      <c r="V32" s="103"/>
      <c r="W32" s="125"/>
      <c r="X32" s="85"/>
      <c r="Y32" s="261"/>
      <c r="Z32" s="245"/>
      <c r="AA32" s="85"/>
      <c r="AB32" s="123"/>
      <c r="AC32" s="85"/>
      <c r="AD32" s="103"/>
      <c r="AE32" s="95"/>
      <c r="AF32" s="249"/>
      <c r="AG32" s="258"/>
      <c r="AH32" s="85"/>
      <c r="AI32" s="85"/>
      <c r="AJ32" s="266"/>
      <c r="AK32" s="267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XET32" s="80"/>
      <c r="XEU32" s="80"/>
    </row>
    <row r="33" spans="1:51 16374:16375" s="79" customFormat="1" ht="26.25" customHeight="1" thickBot="1" x14ac:dyDescent="0.35">
      <c r="A33" s="85"/>
      <c r="B33" s="262"/>
      <c r="C33" s="266"/>
      <c r="D33" s="85"/>
      <c r="E33" s="85"/>
      <c r="F33" s="85"/>
      <c r="G33" s="85"/>
      <c r="H33" s="94"/>
      <c r="I33" s="104"/>
      <c r="J33" s="85"/>
      <c r="K33" s="107"/>
      <c r="L33" s="85"/>
      <c r="M33" s="298" t="s">
        <v>228</v>
      </c>
      <c r="N33" s="305"/>
      <c r="O33" s="85"/>
      <c r="P33" s="112"/>
      <c r="Q33" s="104"/>
      <c r="R33" s="85"/>
      <c r="S33" s="114"/>
      <c r="T33" s="119"/>
      <c r="U33" s="85"/>
      <c r="V33" s="103"/>
      <c r="W33" s="125"/>
      <c r="X33" s="85"/>
      <c r="Y33" s="297" t="s">
        <v>228</v>
      </c>
      <c r="Z33" s="298"/>
      <c r="AA33" s="85"/>
      <c r="AB33" s="123"/>
      <c r="AC33" s="85"/>
      <c r="AD33" s="103"/>
      <c r="AE33" s="95"/>
      <c r="AF33" s="85"/>
      <c r="AG33" s="85"/>
      <c r="AH33" s="85"/>
      <c r="AI33" s="85"/>
      <c r="AJ33" s="266"/>
      <c r="AK33" s="267"/>
      <c r="AL33" s="85"/>
      <c r="AM33" s="85"/>
      <c r="AN33" s="85"/>
      <c r="AO33" s="85"/>
      <c r="AP33" s="85"/>
      <c r="AQ33" s="85"/>
      <c r="AR33" s="85"/>
      <c r="AS33" s="85"/>
      <c r="AT33" s="85"/>
      <c r="AU33" s="85"/>
      <c r="AV33" s="85"/>
      <c r="AW33" s="85"/>
      <c r="AX33" s="85"/>
      <c r="AY33" s="85"/>
      <c r="XET33" s="80"/>
      <c r="XEU33" s="80"/>
    </row>
    <row r="34" spans="1:51 16374:16375" s="79" customFormat="1" ht="24" customHeight="1" thickBot="1" x14ac:dyDescent="0.4">
      <c r="A34" s="85"/>
      <c r="B34" s="262"/>
      <c r="C34" s="266"/>
      <c r="D34" s="85"/>
      <c r="E34" s="85"/>
      <c r="F34" s="85"/>
      <c r="G34" s="85"/>
      <c r="H34" s="258"/>
      <c r="I34" s="259" t="str">
        <f>IF(M31="0",N31,IF(M31="1",N34,""))</f>
        <v/>
      </c>
      <c r="J34" s="85"/>
      <c r="K34" s="107"/>
      <c r="L34" s="85"/>
      <c r="M34" s="258"/>
      <c r="N34" s="260" t="str">
        <f>IF(P35="0",Q35,IF(P35="1",Q39,""))</f>
        <v/>
      </c>
      <c r="O34" s="85"/>
      <c r="P34" s="301" t="s">
        <v>228</v>
      </c>
      <c r="Q34" s="302"/>
      <c r="R34" s="85"/>
      <c r="S34" s="168" t="s">
        <v>227</v>
      </c>
      <c r="T34" s="169"/>
      <c r="U34" s="85"/>
      <c r="V34" s="301" t="s">
        <v>228</v>
      </c>
      <c r="W34" s="302"/>
      <c r="X34" s="85"/>
      <c r="Y34" s="261" t="str">
        <f>IF(W35="0",V35,IF(W35="1",V39,""))</f>
        <v/>
      </c>
      <c r="Z34" s="258"/>
      <c r="AA34" s="85"/>
      <c r="AB34" s="123"/>
      <c r="AC34" s="85"/>
      <c r="AD34" s="268" t="str">
        <f>IF(Z31="0",Y31,IF(Z31="1",Y34,""))</f>
        <v/>
      </c>
      <c r="AE34" s="258"/>
      <c r="AF34" s="85"/>
      <c r="AG34" s="85"/>
      <c r="AH34" s="85"/>
      <c r="AI34" s="85"/>
      <c r="AJ34" s="266"/>
      <c r="AK34" s="267"/>
      <c r="AL34" s="85"/>
      <c r="AM34" s="85"/>
      <c r="AN34" s="85"/>
      <c r="AO34" s="85"/>
      <c r="AP34" s="85"/>
      <c r="AQ34" s="85"/>
      <c r="AR34" s="85"/>
      <c r="AS34" s="85"/>
      <c r="AT34" s="85"/>
      <c r="AU34" s="85"/>
      <c r="AV34" s="85"/>
      <c r="AW34" s="85"/>
      <c r="AX34" s="85"/>
      <c r="AY34" s="85"/>
      <c r="XET34" s="80"/>
      <c r="XEU34" s="80"/>
    </row>
    <row r="35" spans="1:51 16374:16375" s="79" customFormat="1" ht="40.15" customHeight="1" thickBot="1" x14ac:dyDescent="0.25">
      <c r="A35" s="85"/>
      <c r="B35" s="262"/>
      <c r="C35" s="266"/>
      <c r="D35" s="85"/>
      <c r="E35" s="85"/>
      <c r="F35" s="85"/>
      <c r="G35" s="85"/>
      <c r="H35" s="258"/>
      <c r="I35" s="259"/>
      <c r="J35" s="85"/>
      <c r="K35" s="107"/>
      <c r="L35" s="85"/>
      <c r="M35" s="258"/>
      <c r="N35" s="260"/>
      <c r="O35" s="85"/>
      <c r="P35" s="262"/>
      <c r="Q35" s="263" t="str">
        <f>IF(T35="0",S35,IF(T35="1",S36,""))</f>
        <v/>
      </c>
      <c r="R35" s="85"/>
      <c r="S35" s="117"/>
      <c r="T35" s="134"/>
      <c r="U35" s="85"/>
      <c r="V35" s="264" t="str">
        <f>IF(T35="1",S35,IF(T35="0",S36,""))</f>
        <v/>
      </c>
      <c r="W35" s="265"/>
      <c r="X35" s="85"/>
      <c r="Y35" s="261"/>
      <c r="Z35" s="258"/>
      <c r="AA35" s="85"/>
      <c r="AB35" s="123"/>
      <c r="AC35" s="85"/>
      <c r="AD35" s="268"/>
      <c r="AE35" s="258"/>
      <c r="AF35" s="85"/>
      <c r="AG35" s="85"/>
      <c r="AH35" s="85"/>
      <c r="AI35" s="85"/>
      <c r="AJ35" s="266"/>
      <c r="AK35" s="267"/>
      <c r="AL35" s="85"/>
      <c r="AM35" s="85"/>
      <c r="AN35" s="85"/>
      <c r="AO35" s="85"/>
      <c r="AP35" s="85"/>
      <c r="AQ35" s="85"/>
      <c r="AR35" s="85"/>
      <c r="AS35" s="85"/>
      <c r="AT35" s="85"/>
      <c r="AU35" s="85"/>
      <c r="AV35" s="85"/>
      <c r="AW35" s="85"/>
      <c r="AX35" s="85"/>
      <c r="AY35" s="85"/>
      <c r="XET35" s="80"/>
      <c r="XEU35" s="80"/>
    </row>
    <row r="36" spans="1:51 16374:16375" s="79" customFormat="1" ht="40.15" customHeight="1" thickBot="1" x14ac:dyDescent="0.25">
      <c r="A36" s="85"/>
      <c r="B36" s="103"/>
      <c r="C36" s="85"/>
      <c r="D36" s="85"/>
      <c r="E36" s="85"/>
      <c r="F36" s="85"/>
      <c r="G36" s="85"/>
      <c r="H36" s="85"/>
      <c r="I36" s="104"/>
      <c r="J36" s="85"/>
      <c r="K36" s="107"/>
      <c r="L36" s="85"/>
      <c r="M36" s="85"/>
      <c r="N36" s="108"/>
      <c r="O36" s="85"/>
      <c r="P36" s="262"/>
      <c r="Q36" s="263"/>
      <c r="R36" s="85"/>
      <c r="S36" s="117"/>
      <c r="T36" s="134"/>
      <c r="U36" s="85"/>
      <c r="V36" s="264"/>
      <c r="W36" s="265"/>
      <c r="X36" s="85"/>
      <c r="Y36" s="106"/>
      <c r="Z36" s="85"/>
      <c r="AA36" s="85"/>
      <c r="AB36" s="123"/>
      <c r="AC36" s="85"/>
      <c r="AD36" s="103"/>
      <c r="AE36" s="85"/>
      <c r="AF36" s="85"/>
      <c r="AG36" s="85"/>
      <c r="AH36" s="85"/>
      <c r="AI36" s="85"/>
      <c r="AJ36" s="85"/>
      <c r="AK36" s="104"/>
      <c r="AL36" s="85"/>
      <c r="AM36" s="85"/>
      <c r="AN36" s="85"/>
      <c r="AO36" s="85"/>
      <c r="AP36" s="85"/>
      <c r="AQ36" s="85"/>
      <c r="AR36" s="85"/>
      <c r="AS36" s="85"/>
      <c r="AT36" s="85"/>
      <c r="AU36" s="85"/>
      <c r="AV36" s="85"/>
      <c r="AW36" s="85"/>
      <c r="AX36" s="85"/>
      <c r="AY36" s="85"/>
      <c r="XET36" s="80"/>
      <c r="XEU36" s="80"/>
    </row>
    <row r="37" spans="1:51 16374:16375" s="79" customFormat="1" ht="30.2" customHeight="1" thickBot="1" x14ac:dyDescent="0.25">
      <c r="A37" s="85"/>
      <c r="B37" s="103"/>
      <c r="C37" s="85"/>
      <c r="D37" s="85"/>
      <c r="E37" s="85"/>
      <c r="F37" s="85"/>
      <c r="G37" s="85"/>
      <c r="H37" s="85"/>
      <c r="I37" s="104"/>
      <c r="J37" s="85"/>
      <c r="K37" s="269"/>
      <c r="L37" s="271" t="str">
        <f>IF(P35="1",Q35,IF(P35="0",Q39,""))</f>
        <v/>
      </c>
      <c r="M37" s="85"/>
      <c r="N37" s="108"/>
      <c r="O37" s="85"/>
      <c r="P37" s="112"/>
      <c r="Q37" s="104"/>
      <c r="R37" s="85"/>
      <c r="S37" s="114"/>
      <c r="T37" s="119"/>
      <c r="U37" s="85"/>
      <c r="V37" s="103"/>
      <c r="W37" s="125"/>
      <c r="X37" s="85"/>
      <c r="Y37" s="106"/>
      <c r="Z37" s="85"/>
      <c r="AA37" s="271" t="str">
        <f>IF(W35="1",V35,IF(W35="0",V39,""))</f>
        <v/>
      </c>
      <c r="AB37" s="273"/>
      <c r="AC37" s="85"/>
      <c r="AD37" s="103"/>
      <c r="AE37" s="85"/>
      <c r="AF37" s="85"/>
      <c r="AG37" s="85"/>
      <c r="AH37" s="85"/>
      <c r="AI37" s="85"/>
      <c r="AJ37" s="85"/>
      <c r="AK37" s="104"/>
      <c r="AL37" s="85"/>
      <c r="AM37" s="85"/>
      <c r="AN37" s="85"/>
      <c r="AO37" s="85"/>
      <c r="AP37" s="85"/>
      <c r="AQ37" s="85"/>
      <c r="AR37" s="85"/>
      <c r="AS37" s="85"/>
      <c r="AT37" s="85"/>
      <c r="AU37" s="85"/>
      <c r="AV37" s="85"/>
      <c r="AW37" s="85"/>
      <c r="AX37" s="85"/>
      <c r="AY37" s="85"/>
      <c r="XET37" s="80"/>
      <c r="XEU37" s="80"/>
    </row>
    <row r="38" spans="1:51 16374:16375" s="79" customFormat="1" ht="16.149999999999999" customHeight="1" thickBot="1" x14ac:dyDescent="0.25">
      <c r="A38" s="85"/>
      <c r="B38" s="103"/>
      <c r="C38" s="85"/>
      <c r="D38" s="85"/>
      <c r="E38" s="85"/>
      <c r="F38" s="85"/>
      <c r="G38" s="85"/>
      <c r="H38" s="85"/>
      <c r="I38" s="104"/>
      <c r="J38" s="85"/>
      <c r="K38" s="269"/>
      <c r="L38" s="271"/>
      <c r="M38" s="85"/>
      <c r="N38" s="108"/>
      <c r="O38" s="85"/>
      <c r="P38" s="112"/>
      <c r="Q38" s="104"/>
      <c r="R38" s="85"/>
      <c r="S38" s="168" t="s">
        <v>228</v>
      </c>
      <c r="T38" s="169"/>
      <c r="U38" s="85"/>
      <c r="V38" s="103"/>
      <c r="W38" s="125"/>
      <c r="X38" s="85"/>
      <c r="Y38" s="106"/>
      <c r="Z38" s="85"/>
      <c r="AA38" s="271"/>
      <c r="AB38" s="273"/>
      <c r="AC38" s="85"/>
      <c r="AD38" s="103"/>
      <c r="AE38" s="85"/>
      <c r="AF38" s="85"/>
      <c r="AG38" s="85"/>
      <c r="AH38" s="85"/>
      <c r="AI38" s="85"/>
      <c r="AJ38" s="85"/>
      <c r="AK38" s="104"/>
      <c r="AL38" s="85"/>
      <c r="AM38" s="85"/>
      <c r="AN38" s="85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XET38" s="80"/>
      <c r="XEU38" s="80"/>
    </row>
    <row r="39" spans="1:51 16374:16375" s="79" customFormat="1" ht="40.15" customHeight="1" thickBot="1" x14ac:dyDescent="0.25">
      <c r="A39" s="85"/>
      <c r="B39" s="103"/>
      <c r="C39" s="85"/>
      <c r="D39" s="85"/>
      <c r="E39" s="85"/>
      <c r="F39" s="85"/>
      <c r="G39" s="85"/>
      <c r="H39" s="85"/>
      <c r="I39" s="104"/>
      <c r="J39" s="85"/>
      <c r="K39" s="270"/>
      <c r="L39" s="272"/>
      <c r="M39" s="115"/>
      <c r="N39" s="122"/>
      <c r="O39" s="85"/>
      <c r="P39" s="262"/>
      <c r="Q39" s="263" t="str">
        <f>IF(T39="0",S39,IF(T39="1",S40,""))</f>
        <v/>
      </c>
      <c r="R39" s="85"/>
      <c r="S39" s="117"/>
      <c r="T39" s="134"/>
      <c r="U39" s="85"/>
      <c r="V39" s="277" t="str">
        <f>IF(T39="1",S39,IF(T39="0",S40,""))</f>
        <v/>
      </c>
      <c r="W39" s="265"/>
      <c r="X39" s="85"/>
      <c r="Y39" s="124"/>
      <c r="Z39" s="115"/>
      <c r="AA39" s="272"/>
      <c r="AB39" s="274"/>
      <c r="AC39" s="85"/>
      <c r="AD39" s="103"/>
      <c r="AE39" s="85"/>
      <c r="AF39" s="85"/>
      <c r="AG39" s="85"/>
      <c r="AH39" s="85"/>
      <c r="AI39" s="85"/>
      <c r="AJ39" s="85"/>
      <c r="AK39" s="104"/>
      <c r="AL39" s="85"/>
      <c r="AM39" s="85"/>
      <c r="AN39" s="85"/>
      <c r="AO39" s="85"/>
      <c r="AP39" s="85"/>
      <c r="AQ39" s="85"/>
      <c r="AR39" s="85"/>
      <c r="AS39" s="85"/>
      <c r="AT39" s="85"/>
      <c r="AU39" s="85"/>
      <c r="AV39" s="85"/>
      <c r="AW39" s="85"/>
      <c r="AX39" s="85"/>
      <c r="AY39" s="85"/>
      <c r="XET39" s="80"/>
      <c r="XEU39" s="80"/>
    </row>
    <row r="40" spans="1:51 16374:16375" s="79" customFormat="1" ht="40.15" customHeight="1" thickTop="1" thickBot="1" x14ac:dyDescent="0.25">
      <c r="A40" s="85"/>
      <c r="B40" s="110"/>
      <c r="C40" s="111"/>
      <c r="D40" s="111"/>
      <c r="E40" s="111"/>
      <c r="F40" s="111"/>
      <c r="G40" s="111"/>
      <c r="H40" s="111"/>
      <c r="I40" s="113"/>
      <c r="J40" s="85"/>
      <c r="K40" s="85"/>
      <c r="L40" s="85"/>
      <c r="M40" s="85"/>
      <c r="N40" s="85"/>
      <c r="O40" s="85"/>
      <c r="P40" s="275"/>
      <c r="Q40" s="276"/>
      <c r="R40" s="85"/>
      <c r="S40" s="120"/>
      <c r="T40" s="134"/>
      <c r="U40" s="85"/>
      <c r="V40" s="278"/>
      <c r="W40" s="265"/>
      <c r="X40" s="85"/>
      <c r="Y40" s="85"/>
      <c r="Z40" s="85"/>
      <c r="AA40" s="85"/>
      <c r="AB40" s="85"/>
      <c r="AC40" s="85"/>
      <c r="AD40" s="110"/>
      <c r="AE40" s="111"/>
      <c r="AF40" s="111"/>
      <c r="AG40" s="111"/>
      <c r="AH40" s="111"/>
      <c r="AI40" s="111"/>
      <c r="AJ40" s="111"/>
      <c r="AK40" s="113"/>
      <c r="AL40" s="85"/>
      <c r="AM40" s="85"/>
      <c r="AN40" s="85"/>
      <c r="AO40" s="85"/>
      <c r="AP40" s="85"/>
      <c r="AQ40" s="85"/>
      <c r="AR40" s="85"/>
      <c r="AS40" s="85"/>
      <c r="AT40" s="85"/>
      <c r="AU40" s="85"/>
      <c r="AV40" s="85"/>
      <c r="AW40" s="85"/>
      <c r="AX40" s="85"/>
      <c r="AY40" s="85"/>
      <c r="XET40" s="80"/>
      <c r="XEU40" s="80"/>
    </row>
    <row r="41" spans="1:51 16374:16375" s="79" customFormat="1" ht="21" thickTop="1" x14ac:dyDescent="0.3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99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5"/>
      <c r="AN41" s="85"/>
      <c r="AO41" s="85"/>
      <c r="AP41" s="85"/>
      <c r="AQ41" s="85"/>
      <c r="AR41" s="85"/>
      <c r="AS41" s="85"/>
      <c r="AT41" s="85"/>
      <c r="AU41" s="85"/>
      <c r="AV41" s="85"/>
      <c r="AW41" s="85"/>
      <c r="AX41" s="85"/>
      <c r="AY41" s="85"/>
      <c r="XET41" s="80"/>
      <c r="XEU41" s="80"/>
    </row>
    <row r="42" spans="1:51 16374:16375" s="79" customFormat="1" ht="12.75" customHeight="1" x14ac:dyDescent="0.3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99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5"/>
      <c r="AN42" s="85"/>
      <c r="AO42" s="85"/>
      <c r="AP42" s="85"/>
      <c r="AQ42" s="85"/>
      <c r="AR42" s="85"/>
      <c r="AS42" s="85"/>
      <c r="AT42" s="85"/>
      <c r="AU42" s="85"/>
      <c r="AV42" s="85"/>
      <c r="AW42" s="85"/>
      <c r="AX42" s="85"/>
      <c r="AY42" s="85"/>
      <c r="XET42" s="80"/>
      <c r="XEU42" s="80"/>
    </row>
    <row r="43" spans="1:51 16374:16375" s="79" customFormat="1" ht="33.200000000000003" customHeight="1" x14ac:dyDescent="0.4">
      <c r="A43" s="85"/>
      <c r="B43" s="85"/>
      <c r="C43" s="86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7"/>
      <c r="T43" s="87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85"/>
      <c r="AN43" s="85"/>
      <c r="AO43" s="85"/>
      <c r="AP43" s="85"/>
      <c r="AQ43" s="85"/>
      <c r="AR43" s="85"/>
      <c r="AS43" s="85"/>
      <c r="AT43" s="85"/>
      <c r="AU43" s="85"/>
      <c r="AV43" s="85"/>
      <c r="AW43" s="85"/>
      <c r="AX43" s="85"/>
      <c r="AY43" s="85"/>
      <c r="XET43" s="80"/>
      <c r="XEU43" s="80"/>
    </row>
    <row r="44" spans="1:51 16374:16375" s="79" customFormat="1" ht="141.75" customHeight="1" x14ac:dyDescent="0.2">
      <c r="A44" s="85"/>
      <c r="B44" s="256" t="s">
        <v>209</v>
      </c>
      <c r="C44" s="256"/>
      <c r="D44" s="256"/>
      <c r="E44" s="256"/>
      <c r="F44" s="256"/>
      <c r="G44" s="256"/>
      <c r="H44" s="256"/>
      <c r="I44" s="256"/>
      <c r="J44" s="256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6"/>
      <c r="AB44" s="256"/>
      <c r="AC44" s="256"/>
      <c r="AD44" s="256"/>
      <c r="AE44" s="256"/>
      <c r="AF44" s="256"/>
      <c r="AG44" s="256"/>
      <c r="AH44" s="256"/>
      <c r="AI44" s="256"/>
      <c r="AJ44" s="256"/>
      <c r="AK44" s="88"/>
      <c r="AL44" s="85"/>
      <c r="AM44" s="85"/>
      <c r="AN44" s="85"/>
      <c r="AO44" s="85"/>
      <c r="AP44" s="85"/>
      <c r="AQ44" s="85"/>
      <c r="AR44" s="85"/>
      <c r="AS44" s="85"/>
      <c r="AT44" s="85"/>
      <c r="AU44" s="85"/>
      <c r="AV44" s="85"/>
      <c r="AW44" s="85"/>
      <c r="AX44" s="85"/>
      <c r="AY44" s="85"/>
      <c r="XET44" s="80"/>
      <c r="XEU44" s="80"/>
    </row>
    <row r="45" spans="1:51 16374:16375" s="79" customFormat="1" ht="33.200000000000003" customHeight="1" x14ac:dyDescent="0.2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7"/>
      <c r="T45" s="87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85"/>
      <c r="AN45" s="85"/>
      <c r="AO45" s="85"/>
      <c r="AP45" s="85"/>
      <c r="AQ45" s="85"/>
      <c r="AR45" s="85"/>
      <c r="AS45" s="85"/>
      <c r="AT45" s="85"/>
      <c r="AU45" s="85"/>
      <c r="AV45" s="85"/>
      <c r="AW45" s="85"/>
      <c r="AX45" s="85"/>
      <c r="AY45" s="85"/>
      <c r="XET45" s="80"/>
      <c r="XEU45" s="80"/>
    </row>
    <row r="46" spans="1:51 16374:16375" s="81" customFormat="1" ht="43.35" customHeight="1" x14ac:dyDescent="0.2">
      <c r="A46" s="85"/>
      <c r="B46" s="257" t="s">
        <v>186</v>
      </c>
      <c r="C46" s="257"/>
      <c r="D46" s="257"/>
      <c r="E46" s="257"/>
      <c r="F46" s="257"/>
      <c r="G46" s="257"/>
      <c r="H46" s="257"/>
      <c r="I46" s="257"/>
      <c r="J46" s="89"/>
      <c r="K46" s="257" t="s">
        <v>187</v>
      </c>
      <c r="L46" s="257"/>
      <c r="M46" s="257"/>
      <c r="N46" s="257"/>
      <c r="O46" s="89"/>
      <c r="P46" s="257" t="s">
        <v>188</v>
      </c>
      <c r="Q46" s="257"/>
      <c r="R46" s="90"/>
      <c r="S46" s="257"/>
      <c r="T46" s="257"/>
      <c r="U46" s="89"/>
      <c r="V46" s="257" t="s">
        <v>189</v>
      </c>
      <c r="W46" s="257"/>
      <c r="X46" s="89"/>
      <c r="Y46" s="257" t="s">
        <v>190</v>
      </c>
      <c r="Z46" s="257"/>
      <c r="AA46" s="257"/>
      <c r="AB46" s="257"/>
      <c r="AC46" s="91"/>
      <c r="AD46" s="257" t="s">
        <v>191</v>
      </c>
      <c r="AE46" s="257"/>
      <c r="AF46" s="257"/>
      <c r="AG46" s="257"/>
      <c r="AH46" s="257"/>
      <c r="AI46" s="257"/>
      <c r="AJ46" s="257"/>
      <c r="AK46" s="257"/>
      <c r="AL46" s="91"/>
      <c r="AM46" s="91"/>
      <c r="AN46" s="91"/>
      <c r="AO46" s="91"/>
      <c r="AP46" s="91"/>
      <c r="AQ46" s="91"/>
      <c r="AR46" s="91"/>
      <c r="AS46" s="91"/>
      <c r="AT46" s="91"/>
      <c r="AU46" s="91"/>
      <c r="AV46" s="91"/>
      <c r="AW46" s="91"/>
      <c r="AX46" s="91"/>
      <c r="AY46" s="91"/>
      <c r="XET46" s="80"/>
      <c r="XEU46" s="80"/>
    </row>
    <row r="47" spans="1:51 16374:16375" s="81" customFormat="1" ht="43.35" customHeight="1" x14ac:dyDescent="0.2">
      <c r="A47" s="85"/>
      <c r="B47" s="255" t="s">
        <v>210</v>
      </c>
      <c r="C47" s="255"/>
      <c r="D47" s="255" t="s">
        <v>211</v>
      </c>
      <c r="E47" s="255"/>
      <c r="F47" s="255" t="s">
        <v>212</v>
      </c>
      <c r="G47" s="255"/>
      <c r="H47" s="255" t="s">
        <v>213</v>
      </c>
      <c r="I47" s="255"/>
      <c r="J47" s="92"/>
      <c r="K47" s="255" t="s">
        <v>214</v>
      </c>
      <c r="L47" s="255"/>
      <c r="M47" s="255" t="s">
        <v>215</v>
      </c>
      <c r="N47" s="255"/>
      <c r="O47" s="93"/>
      <c r="P47" s="255" t="s">
        <v>216</v>
      </c>
      <c r="Q47" s="255"/>
      <c r="R47" s="93"/>
      <c r="S47" s="255"/>
      <c r="T47" s="255"/>
      <c r="U47" s="93"/>
      <c r="V47" s="255" t="s">
        <v>217</v>
      </c>
      <c r="W47" s="255"/>
      <c r="X47" s="93"/>
      <c r="Y47" s="255" t="s">
        <v>218</v>
      </c>
      <c r="Z47" s="255"/>
      <c r="AA47" s="255" t="s">
        <v>219</v>
      </c>
      <c r="AB47" s="255"/>
      <c r="AC47" s="93"/>
      <c r="AD47" s="255" t="s">
        <v>220</v>
      </c>
      <c r="AE47" s="255"/>
      <c r="AF47" s="255" t="s">
        <v>221</v>
      </c>
      <c r="AG47" s="255"/>
      <c r="AH47" s="255" t="s">
        <v>222</v>
      </c>
      <c r="AI47" s="255"/>
      <c r="AJ47" s="255" t="s">
        <v>223</v>
      </c>
      <c r="AK47" s="255"/>
      <c r="AL47" s="91"/>
      <c r="AM47" s="91"/>
      <c r="AN47" s="91"/>
      <c r="AO47" s="91"/>
      <c r="AP47" s="91"/>
      <c r="AQ47" s="91"/>
      <c r="AR47" s="91"/>
      <c r="AS47" s="91"/>
      <c r="AT47" s="91"/>
      <c r="AU47" s="91"/>
      <c r="AV47" s="91"/>
      <c r="AW47" s="91"/>
      <c r="AX47" s="91"/>
      <c r="AY47" s="91"/>
      <c r="XET47" s="80"/>
      <c r="XEU47" s="80"/>
    </row>
    <row r="48" spans="1:51 16374:16375" s="79" customFormat="1" ht="49.5" customHeight="1" thickBot="1" x14ac:dyDescent="0.25">
      <c r="A48" s="85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7"/>
      <c r="M48" s="87"/>
      <c r="N48" s="87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7"/>
      <c r="AA48" s="87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  <c r="AM48" s="85"/>
      <c r="AN48" s="85"/>
      <c r="AO48" s="85"/>
      <c r="AP48" s="85"/>
      <c r="AQ48" s="85"/>
      <c r="AR48" s="85"/>
      <c r="AS48" s="85"/>
      <c r="AT48" s="85"/>
      <c r="AU48" s="85"/>
      <c r="AV48" s="85"/>
      <c r="AW48" s="85"/>
      <c r="AX48" s="85"/>
      <c r="AY48" s="85"/>
      <c r="XET48" s="80"/>
      <c r="XEU48" s="80"/>
    </row>
    <row r="49" spans="1:51 16374:16375" s="79" customFormat="1" ht="40.15" customHeight="1" thickBot="1" x14ac:dyDescent="0.25">
      <c r="A49" s="85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246"/>
      <c r="Q49" s="247" t="str">
        <f>IF(T49="0",S49,IF(T49="1",S50,""))</f>
        <v/>
      </c>
      <c r="R49" s="85"/>
      <c r="S49" s="83"/>
      <c r="T49" s="84"/>
      <c r="U49" s="85"/>
      <c r="V49" s="247" t="str">
        <f>IF(T49="1",S49,IF(T49="0",S50,""))</f>
        <v/>
      </c>
      <c r="W49" s="246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85"/>
      <c r="AN49" s="85"/>
      <c r="AO49" s="85"/>
      <c r="AP49" s="85"/>
      <c r="AQ49" s="85"/>
      <c r="AR49" s="85"/>
      <c r="AS49" s="85"/>
      <c r="AT49" s="85"/>
      <c r="AU49" s="85"/>
      <c r="AV49" s="85"/>
      <c r="AW49" s="85"/>
      <c r="AX49" s="85"/>
      <c r="AY49" s="85"/>
      <c r="XET49" s="80"/>
      <c r="XEU49" s="80"/>
    </row>
    <row r="50" spans="1:51 16374:16375" s="79" customFormat="1" ht="40.15" customHeight="1" thickBot="1" x14ac:dyDescent="0.25">
      <c r="A50" s="85"/>
      <c r="B50" s="85"/>
      <c r="C50" s="85"/>
      <c r="D50" s="85"/>
      <c r="E50" s="85"/>
      <c r="F50" s="85"/>
      <c r="G50" s="85"/>
      <c r="H50" s="85"/>
      <c r="I50" s="85"/>
      <c r="J50" s="85"/>
      <c r="K50" s="246"/>
      <c r="L50" s="247" t="str">
        <f>IF(P49="1",Q49,IF(P49="0",Q53,""))</f>
        <v/>
      </c>
      <c r="M50" s="85"/>
      <c r="N50" s="85"/>
      <c r="O50" s="85"/>
      <c r="P50" s="246"/>
      <c r="Q50" s="247"/>
      <c r="R50" s="85"/>
      <c r="S50" s="83"/>
      <c r="T50" s="84"/>
      <c r="U50" s="85"/>
      <c r="V50" s="247"/>
      <c r="W50" s="246"/>
      <c r="X50" s="85"/>
      <c r="Y50" s="85"/>
      <c r="Z50" s="85"/>
      <c r="AA50" s="247" t="str">
        <f>IF(W49="1",V49,IF(W49="0",V53,""))</f>
        <v/>
      </c>
      <c r="AB50" s="246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5"/>
      <c r="AN50" s="85"/>
      <c r="AO50" s="85"/>
      <c r="AP50" s="85"/>
      <c r="AQ50" s="85"/>
      <c r="AR50" s="85"/>
      <c r="AS50" s="85"/>
      <c r="AT50" s="85"/>
      <c r="AU50" s="85"/>
      <c r="AV50" s="85"/>
      <c r="AW50" s="85"/>
      <c r="AX50" s="85"/>
      <c r="AY50" s="85"/>
      <c r="XET50" s="80"/>
      <c r="XEU50" s="80"/>
    </row>
    <row r="51" spans="1:51 16374:16375" s="79" customFormat="1" ht="16.350000000000001" customHeight="1" thickBot="1" x14ac:dyDescent="0.25">
      <c r="A51" s="85"/>
      <c r="B51" s="85"/>
      <c r="C51" s="85"/>
      <c r="D51" s="85"/>
      <c r="E51" s="85"/>
      <c r="F51" s="85"/>
      <c r="G51" s="85"/>
      <c r="H51" s="85"/>
      <c r="I51" s="85"/>
      <c r="J51" s="85"/>
      <c r="K51" s="246"/>
      <c r="L51" s="247"/>
      <c r="M51" s="85"/>
      <c r="N51" s="85"/>
      <c r="O51" s="85"/>
      <c r="P51" s="94"/>
      <c r="Q51" s="85"/>
      <c r="R51" s="85"/>
      <c r="S51" s="95"/>
      <c r="T51" s="96"/>
      <c r="U51" s="85"/>
      <c r="V51" s="85"/>
      <c r="W51" s="95"/>
      <c r="X51" s="85"/>
      <c r="Y51" s="85"/>
      <c r="Z51" s="85"/>
      <c r="AA51" s="247"/>
      <c r="AB51" s="246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85"/>
      <c r="AN51" s="85"/>
      <c r="AO51" s="85"/>
      <c r="AP51" s="85"/>
      <c r="AQ51" s="85"/>
      <c r="AR51" s="85"/>
      <c r="AS51" s="85"/>
      <c r="AT51" s="85"/>
      <c r="AU51" s="85"/>
      <c r="AV51" s="85"/>
      <c r="AW51" s="85"/>
      <c r="AX51" s="85"/>
      <c r="AY51" s="85"/>
      <c r="XET51" s="80"/>
      <c r="XEU51" s="80"/>
    </row>
    <row r="52" spans="1:51 16374:16375" s="79" customFormat="1" ht="22.35" customHeight="1" thickBot="1" x14ac:dyDescent="0.25">
      <c r="A52" s="85"/>
      <c r="B52" s="85"/>
      <c r="C52" s="85"/>
      <c r="D52" s="85"/>
      <c r="E52" s="85"/>
      <c r="F52" s="85"/>
      <c r="G52" s="85"/>
      <c r="H52" s="85"/>
      <c r="I52" s="85"/>
      <c r="J52" s="85"/>
      <c r="K52" s="246"/>
      <c r="L52" s="247"/>
      <c r="M52" s="85"/>
      <c r="N52" s="85"/>
      <c r="O52" s="85"/>
      <c r="P52" s="94"/>
      <c r="Q52" s="85"/>
      <c r="R52" s="85"/>
      <c r="S52" s="95"/>
      <c r="T52" s="96"/>
      <c r="U52" s="85"/>
      <c r="V52" s="85"/>
      <c r="W52" s="95"/>
      <c r="X52" s="85"/>
      <c r="Y52" s="85"/>
      <c r="Z52" s="85"/>
      <c r="AA52" s="247"/>
      <c r="AB52" s="246"/>
      <c r="AC52" s="85"/>
      <c r="AD52" s="85"/>
      <c r="AE52" s="85"/>
      <c r="AF52" s="85"/>
      <c r="AG52" s="85"/>
      <c r="AH52" s="85"/>
      <c r="AI52" s="85"/>
      <c r="AJ52" s="85"/>
      <c r="AK52" s="85"/>
      <c r="AL52" s="85"/>
      <c r="AM52" s="85"/>
      <c r="AN52" s="85"/>
      <c r="AO52" s="85"/>
      <c r="AP52" s="85"/>
      <c r="AQ52" s="85"/>
      <c r="AR52" s="85"/>
      <c r="AS52" s="85"/>
      <c r="AT52" s="85"/>
      <c r="AU52" s="85"/>
      <c r="AV52" s="85"/>
      <c r="AW52" s="85"/>
      <c r="AX52" s="85"/>
      <c r="AY52" s="85"/>
      <c r="XET52" s="80"/>
      <c r="XEU52" s="80"/>
    </row>
    <row r="53" spans="1:51 16374:16375" s="79" customFormat="1" ht="40.15" customHeight="1" thickBot="1" x14ac:dyDescent="0.25">
      <c r="A53" s="85"/>
      <c r="B53" s="85"/>
      <c r="C53" s="85"/>
      <c r="D53" s="85"/>
      <c r="E53" s="85"/>
      <c r="F53" s="85"/>
      <c r="G53" s="85"/>
      <c r="H53" s="85"/>
      <c r="I53" s="85"/>
      <c r="J53" s="85"/>
      <c r="K53" s="94"/>
      <c r="L53" s="85"/>
      <c r="M53" s="85"/>
      <c r="N53" s="85"/>
      <c r="O53" s="85"/>
      <c r="P53" s="246"/>
      <c r="Q53" s="247" t="str">
        <f>IF(T53="0",S53,IF(T53="1",S54,""))</f>
        <v/>
      </c>
      <c r="R53" s="85"/>
      <c r="S53" s="83"/>
      <c r="T53" s="84"/>
      <c r="U53" s="85"/>
      <c r="V53" s="247" t="str">
        <f>IF(T53="1",S53,IF(T53="0",S54,""))</f>
        <v/>
      </c>
      <c r="W53" s="246"/>
      <c r="X53" s="85"/>
      <c r="Y53" s="85"/>
      <c r="Z53" s="85"/>
      <c r="AA53" s="85"/>
      <c r="AB53" s="94"/>
      <c r="AC53" s="85"/>
      <c r="AD53" s="85"/>
      <c r="AE53" s="85"/>
      <c r="AF53" s="85"/>
      <c r="AG53" s="85"/>
      <c r="AH53" s="85"/>
      <c r="AI53" s="85"/>
      <c r="AJ53" s="85"/>
      <c r="AK53" s="85"/>
      <c r="AL53" s="85"/>
      <c r="AM53" s="85"/>
      <c r="AN53" s="85"/>
      <c r="AO53" s="85"/>
      <c r="AP53" s="85"/>
      <c r="AQ53" s="85"/>
      <c r="AR53" s="85"/>
      <c r="AS53" s="85"/>
      <c r="AT53" s="85"/>
      <c r="AU53" s="85"/>
      <c r="AV53" s="85"/>
      <c r="AW53" s="85"/>
      <c r="AX53" s="85"/>
      <c r="AY53" s="85"/>
      <c r="XET53" s="80"/>
      <c r="XEU53" s="80"/>
    </row>
    <row r="54" spans="1:51 16374:16375" s="79" customFormat="1" ht="40.15" customHeight="1" thickBot="1" x14ac:dyDescent="0.25">
      <c r="A54" s="85"/>
      <c r="B54" s="246"/>
      <c r="C54" s="242" t="str">
        <f>IF(K50="1",L50,IF(M54="0",L60,""))</f>
        <v/>
      </c>
      <c r="D54" s="85"/>
      <c r="E54" s="85"/>
      <c r="F54" s="250"/>
      <c r="G54" s="249" t="str">
        <f>IF(M54="1",N54,IF(M54="0",N57,""))</f>
        <v/>
      </c>
      <c r="H54" s="85"/>
      <c r="I54" s="85"/>
      <c r="J54" s="85"/>
      <c r="K54" s="94"/>
      <c r="L54" s="85"/>
      <c r="M54" s="245"/>
      <c r="N54" s="244" t="str">
        <f>IF(P49="0",Q49,IF(P49="1",Q53,""))</f>
        <v/>
      </c>
      <c r="O54" s="85"/>
      <c r="P54" s="246"/>
      <c r="Q54" s="247"/>
      <c r="R54" s="85"/>
      <c r="S54" s="83"/>
      <c r="T54" s="84"/>
      <c r="U54" s="85"/>
      <c r="V54" s="247"/>
      <c r="W54" s="246"/>
      <c r="X54" s="85"/>
      <c r="Y54" s="249" t="str">
        <f>IF(W49="0",V49,IF(W49="1",V53,""))</f>
        <v/>
      </c>
      <c r="Z54" s="245"/>
      <c r="AA54" s="85"/>
      <c r="AB54" s="94"/>
      <c r="AC54" s="85"/>
      <c r="AD54" s="85"/>
      <c r="AE54" s="85"/>
      <c r="AF54" s="249" t="str">
        <f>IF(Z54="1",Y54,IF(Z54="0",Y57,""))</f>
        <v/>
      </c>
      <c r="AG54" s="245"/>
      <c r="AH54" s="85"/>
      <c r="AI54" s="85"/>
      <c r="AJ54" s="242" t="str">
        <f>IF(AB50="1",AA50,IF(W49="0",AA60,""))</f>
        <v/>
      </c>
      <c r="AK54" s="243"/>
      <c r="AL54" s="85"/>
      <c r="AM54" s="85"/>
      <c r="AN54" s="85"/>
      <c r="AO54" s="85"/>
      <c r="AP54" s="85"/>
      <c r="AQ54" s="85"/>
      <c r="AR54" s="85"/>
      <c r="AS54" s="85"/>
      <c r="AT54" s="85"/>
      <c r="AU54" s="85"/>
      <c r="AV54" s="85"/>
      <c r="AW54" s="85"/>
      <c r="AX54" s="85"/>
      <c r="AY54" s="85"/>
      <c r="XET54" s="80"/>
      <c r="XEU54" s="80"/>
    </row>
    <row r="55" spans="1:51 16374:16375" s="79" customFormat="1" ht="21.75" customHeight="1" thickBot="1" x14ac:dyDescent="0.25">
      <c r="A55" s="85"/>
      <c r="B55" s="246"/>
      <c r="C55" s="242"/>
      <c r="D55" s="85"/>
      <c r="E55" s="85"/>
      <c r="F55" s="250"/>
      <c r="G55" s="249"/>
      <c r="H55" s="85"/>
      <c r="I55" s="85"/>
      <c r="J55" s="85"/>
      <c r="K55" s="94"/>
      <c r="L55" s="85"/>
      <c r="M55" s="245"/>
      <c r="N55" s="244"/>
      <c r="O55" s="85"/>
      <c r="P55" s="94"/>
      <c r="Q55" s="85"/>
      <c r="R55" s="85"/>
      <c r="S55" s="95"/>
      <c r="T55" s="96"/>
      <c r="U55" s="85"/>
      <c r="V55" s="85"/>
      <c r="W55" s="95"/>
      <c r="X55" s="85"/>
      <c r="Y55" s="249"/>
      <c r="Z55" s="245"/>
      <c r="AA55" s="85"/>
      <c r="AB55" s="94"/>
      <c r="AC55" s="85"/>
      <c r="AD55" s="85"/>
      <c r="AE55" s="85"/>
      <c r="AF55" s="249"/>
      <c r="AG55" s="245"/>
      <c r="AH55" s="85"/>
      <c r="AI55" s="85"/>
      <c r="AJ55" s="242"/>
      <c r="AK55" s="243"/>
      <c r="AL55" s="85"/>
      <c r="AM55" s="85"/>
      <c r="AN55" s="85"/>
      <c r="AO55" s="85"/>
      <c r="AP55" s="85"/>
      <c r="AQ55" s="85"/>
      <c r="AR55" s="85"/>
      <c r="AS55" s="85"/>
      <c r="AT55" s="85"/>
      <c r="AU55" s="85"/>
      <c r="AV55" s="85"/>
      <c r="AW55" s="85"/>
      <c r="AX55" s="85"/>
      <c r="AY55" s="85"/>
      <c r="XET55" s="80"/>
      <c r="XEU55" s="80"/>
    </row>
    <row r="56" spans="1:51 16374:16375" s="79" customFormat="1" ht="8.65" customHeight="1" thickBot="1" x14ac:dyDescent="0.25">
      <c r="A56" s="85"/>
      <c r="B56" s="246"/>
      <c r="C56" s="242"/>
      <c r="D56" s="85"/>
      <c r="E56" s="85"/>
      <c r="F56" s="94"/>
      <c r="G56" s="85"/>
      <c r="H56" s="85"/>
      <c r="I56" s="85"/>
      <c r="J56" s="85"/>
      <c r="K56" s="94"/>
      <c r="L56" s="85"/>
      <c r="M56" s="95"/>
      <c r="N56" s="85"/>
      <c r="O56" s="85"/>
      <c r="P56" s="94"/>
      <c r="Q56" s="85"/>
      <c r="R56" s="85"/>
      <c r="S56" s="95"/>
      <c r="T56" s="96"/>
      <c r="U56" s="85"/>
      <c r="V56" s="85"/>
      <c r="W56" s="95"/>
      <c r="X56" s="85"/>
      <c r="Y56" s="85"/>
      <c r="Z56" s="95"/>
      <c r="AA56" s="85"/>
      <c r="AB56" s="94"/>
      <c r="AC56" s="85"/>
      <c r="AD56" s="85"/>
      <c r="AE56" s="85"/>
      <c r="AF56" s="85"/>
      <c r="AG56" s="95"/>
      <c r="AH56" s="85"/>
      <c r="AI56" s="85"/>
      <c r="AJ56" s="242"/>
      <c r="AK56" s="243"/>
      <c r="AL56" s="85"/>
      <c r="AM56" s="85"/>
      <c r="AN56" s="85"/>
      <c r="AO56" s="85"/>
      <c r="AP56" s="85"/>
      <c r="AQ56" s="85"/>
      <c r="AR56" s="85"/>
      <c r="AS56" s="85"/>
      <c r="AT56" s="85"/>
      <c r="AU56" s="85"/>
      <c r="AV56" s="85"/>
      <c r="AW56" s="85"/>
      <c r="AX56" s="85"/>
      <c r="AY56" s="85"/>
      <c r="XET56" s="80"/>
      <c r="XEU56" s="80"/>
    </row>
    <row r="57" spans="1:51 16374:16375" s="79" customFormat="1" ht="24" customHeight="1" thickBot="1" x14ac:dyDescent="0.25">
      <c r="A57" s="85"/>
      <c r="B57" s="246"/>
      <c r="C57" s="242"/>
      <c r="D57" s="85"/>
      <c r="E57" s="85"/>
      <c r="F57" s="94"/>
      <c r="G57" s="85"/>
      <c r="H57" s="250"/>
      <c r="I57" s="249" t="str">
        <f>IF(M54="0",N54,IF(M54="1",N57,""))</f>
        <v/>
      </c>
      <c r="J57" s="85"/>
      <c r="K57" s="94"/>
      <c r="L57" s="85"/>
      <c r="M57" s="245"/>
      <c r="N57" s="249" t="str">
        <f>IF(P58="0",Q58,IF(P58="1",Q62,""))</f>
        <v/>
      </c>
      <c r="O57" s="85"/>
      <c r="P57" s="94"/>
      <c r="Q57" s="85"/>
      <c r="R57" s="85"/>
      <c r="S57" s="95"/>
      <c r="T57" s="96"/>
      <c r="U57" s="85"/>
      <c r="V57" s="85"/>
      <c r="W57" s="95"/>
      <c r="X57" s="85"/>
      <c r="Y57" s="249" t="str">
        <f>IF(W58="0",V58,IF(W58="1",V62,""))</f>
        <v/>
      </c>
      <c r="Z57" s="245"/>
      <c r="AA57" s="85"/>
      <c r="AB57" s="94"/>
      <c r="AC57" s="85"/>
      <c r="AD57" s="244" t="str">
        <f>IF(Z54="0",Y54,IF(Z54="1",Y57,""))</f>
        <v/>
      </c>
      <c r="AE57" s="245"/>
      <c r="AF57" s="85"/>
      <c r="AG57" s="95"/>
      <c r="AH57" s="85"/>
      <c r="AI57" s="85"/>
      <c r="AJ57" s="242"/>
      <c r="AK57" s="243"/>
      <c r="AL57" s="85"/>
      <c r="AM57" s="85"/>
      <c r="AN57" s="85"/>
      <c r="AO57" s="85"/>
      <c r="AP57" s="85"/>
      <c r="AQ57" s="85"/>
      <c r="AR57" s="85"/>
      <c r="AS57" s="85"/>
      <c r="AT57" s="85"/>
      <c r="AU57" s="85"/>
      <c r="AV57" s="85"/>
      <c r="AW57" s="85"/>
      <c r="AX57" s="85"/>
      <c r="AY57" s="85"/>
      <c r="XET57" s="80"/>
      <c r="XEU57" s="80"/>
    </row>
    <row r="58" spans="1:51 16374:16375" s="79" customFormat="1" ht="40.15" customHeight="1" thickBot="1" x14ac:dyDescent="0.25">
      <c r="A58" s="85"/>
      <c r="B58" s="246"/>
      <c r="C58" s="242"/>
      <c r="D58" s="85"/>
      <c r="E58" s="85"/>
      <c r="F58" s="94"/>
      <c r="G58" s="85"/>
      <c r="H58" s="250"/>
      <c r="I58" s="249"/>
      <c r="J58" s="85"/>
      <c r="K58" s="94"/>
      <c r="L58" s="85"/>
      <c r="M58" s="245"/>
      <c r="N58" s="249"/>
      <c r="O58" s="85"/>
      <c r="P58" s="246"/>
      <c r="Q58" s="247" t="str">
        <f>IF(T58="0",S58,IF(T58="1",S59,""))</f>
        <v/>
      </c>
      <c r="R58" s="85"/>
      <c r="S58" s="83"/>
      <c r="T58" s="84"/>
      <c r="U58" s="85"/>
      <c r="V58" s="247" t="str">
        <f>IF(T58="1",S58,IF(T58="0",S59,""))</f>
        <v/>
      </c>
      <c r="W58" s="246"/>
      <c r="X58" s="85"/>
      <c r="Y58" s="249"/>
      <c r="Z58" s="245"/>
      <c r="AA58" s="85"/>
      <c r="AB58" s="94"/>
      <c r="AC58" s="85"/>
      <c r="AD58" s="244"/>
      <c r="AE58" s="245"/>
      <c r="AF58" s="85"/>
      <c r="AG58" s="95"/>
      <c r="AH58" s="85"/>
      <c r="AI58" s="85"/>
      <c r="AJ58" s="242"/>
      <c r="AK58" s="243"/>
      <c r="AL58" s="85"/>
      <c r="AM58" s="85"/>
      <c r="AN58" s="85"/>
      <c r="AO58" s="85"/>
      <c r="AP58" s="85"/>
      <c r="AQ58" s="85"/>
      <c r="AR58" s="85"/>
      <c r="AS58" s="85"/>
      <c r="AT58" s="85"/>
      <c r="AU58" s="85"/>
      <c r="AV58" s="85"/>
      <c r="AW58" s="85"/>
      <c r="AX58" s="85"/>
      <c r="AY58" s="85"/>
      <c r="XET58" s="80"/>
      <c r="XEU58" s="80"/>
    </row>
    <row r="59" spans="1:51 16374:16375" s="79" customFormat="1" ht="40.15" customHeight="1" thickBot="1" x14ac:dyDescent="0.25">
      <c r="A59" s="85"/>
      <c r="B59" s="95"/>
      <c r="C59" s="85"/>
      <c r="D59" s="85"/>
      <c r="E59" s="85"/>
      <c r="F59" s="94"/>
      <c r="G59" s="85"/>
      <c r="H59" s="94"/>
      <c r="I59" s="85"/>
      <c r="J59" s="85"/>
      <c r="K59" s="94"/>
      <c r="L59" s="85"/>
      <c r="M59" s="94"/>
      <c r="N59" s="85"/>
      <c r="O59" s="85"/>
      <c r="P59" s="246"/>
      <c r="Q59" s="247"/>
      <c r="R59" s="85"/>
      <c r="S59" s="83"/>
      <c r="T59" s="84"/>
      <c r="U59" s="85"/>
      <c r="V59" s="247"/>
      <c r="W59" s="246"/>
      <c r="X59" s="85"/>
      <c r="Y59" s="85"/>
      <c r="Z59" s="94"/>
      <c r="AA59" s="85"/>
      <c r="AB59" s="94"/>
      <c r="AC59" s="85"/>
      <c r="AD59" s="85"/>
      <c r="AE59" s="95"/>
      <c r="AF59" s="85"/>
      <c r="AG59" s="95"/>
      <c r="AH59" s="85"/>
      <c r="AI59" s="85"/>
      <c r="AJ59" s="85"/>
      <c r="AK59" s="97"/>
      <c r="AL59" s="85"/>
      <c r="AM59" s="85"/>
      <c r="AN59" s="85"/>
      <c r="AO59" s="85"/>
      <c r="AP59" s="85"/>
      <c r="AQ59" s="85"/>
      <c r="AR59" s="85"/>
      <c r="AS59" s="85"/>
      <c r="AT59" s="85"/>
      <c r="AU59" s="85"/>
      <c r="AV59" s="85"/>
      <c r="AW59" s="85"/>
      <c r="AX59" s="85"/>
      <c r="AY59" s="85"/>
      <c r="XET59" s="80"/>
      <c r="XEU59" s="80"/>
    </row>
    <row r="60" spans="1:51 16374:16375" s="79" customFormat="1" ht="30.2" customHeight="1" thickBot="1" x14ac:dyDescent="0.25">
      <c r="A60" s="85"/>
      <c r="B60" s="95"/>
      <c r="C60" s="85"/>
      <c r="D60" s="245"/>
      <c r="E60" s="251" t="str">
        <f>IF(K50="0",L50,IF(K50="1",L60,""))</f>
        <v/>
      </c>
      <c r="F60" s="94"/>
      <c r="G60" s="85"/>
      <c r="H60" s="94"/>
      <c r="I60" s="85"/>
      <c r="J60" s="85"/>
      <c r="K60" s="248"/>
      <c r="L60" s="247" t="str">
        <f>IF(P58="1",Q58,IF(P58="0",Q62,""))</f>
        <v/>
      </c>
      <c r="M60" s="94"/>
      <c r="N60" s="85"/>
      <c r="O60" s="85"/>
      <c r="P60" s="94"/>
      <c r="Q60" s="85"/>
      <c r="R60" s="85"/>
      <c r="S60" s="95"/>
      <c r="T60" s="96"/>
      <c r="U60" s="85"/>
      <c r="V60" s="85"/>
      <c r="W60" s="95"/>
      <c r="X60" s="85"/>
      <c r="Y60" s="85"/>
      <c r="Z60" s="94"/>
      <c r="AA60" s="247" t="str">
        <f>IF(W58="1",V58,IF(W58="0",V62,""))</f>
        <v/>
      </c>
      <c r="AB60" s="246"/>
      <c r="AC60" s="85"/>
      <c r="AD60" s="85"/>
      <c r="AE60" s="95"/>
      <c r="AF60" s="85"/>
      <c r="AG60" s="95"/>
      <c r="AH60" s="251" t="str">
        <f>IF(AB50="0",AA50,IF(AB50="1",AA60,""))</f>
        <v/>
      </c>
      <c r="AI60" s="245"/>
      <c r="AJ60" s="85"/>
      <c r="AK60" s="97"/>
      <c r="AL60" s="85"/>
      <c r="AM60" s="85"/>
      <c r="AN60" s="85"/>
      <c r="AO60" s="85"/>
      <c r="AP60" s="85"/>
      <c r="AQ60" s="85"/>
      <c r="AR60" s="85"/>
      <c r="AS60" s="85"/>
      <c r="AT60" s="85"/>
      <c r="AU60" s="85"/>
      <c r="AV60" s="85"/>
      <c r="AW60" s="85"/>
      <c r="AX60" s="85"/>
      <c r="AY60" s="85"/>
      <c r="XET60" s="80"/>
      <c r="XEU60" s="80"/>
    </row>
    <row r="61" spans="1:51 16374:16375" s="79" customFormat="1" ht="16.149999999999999" customHeight="1" thickBot="1" x14ac:dyDescent="0.25">
      <c r="A61" s="85"/>
      <c r="B61" s="95"/>
      <c r="C61" s="85"/>
      <c r="D61" s="245"/>
      <c r="E61" s="251"/>
      <c r="F61" s="94"/>
      <c r="G61" s="85"/>
      <c r="H61" s="94"/>
      <c r="I61" s="85"/>
      <c r="J61" s="85"/>
      <c r="K61" s="248"/>
      <c r="L61" s="247"/>
      <c r="M61" s="94"/>
      <c r="N61" s="85"/>
      <c r="O61" s="85"/>
      <c r="P61" s="94"/>
      <c r="Q61" s="85"/>
      <c r="R61" s="85"/>
      <c r="S61" s="95"/>
      <c r="T61" s="96"/>
      <c r="U61" s="85"/>
      <c r="V61" s="85"/>
      <c r="W61" s="95"/>
      <c r="X61" s="85"/>
      <c r="Y61" s="85"/>
      <c r="Z61" s="94"/>
      <c r="AA61" s="247"/>
      <c r="AB61" s="246"/>
      <c r="AC61" s="85"/>
      <c r="AD61" s="85"/>
      <c r="AE61" s="95"/>
      <c r="AF61" s="85"/>
      <c r="AG61" s="95"/>
      <c r="AH61" s="251"/>
      <c r="AI61" s="245"/>
      <c r="AJ61" s="85"/>
      <c r="AK61" s="97"/>
      <c r="AL61" s="85"/>
      <c r="AM61" s="85"/>
      <c r="AN61" s="85"/>
      <c r="AO61" s="85"/>
      <c r="AP61" s="85"/>
      <c r="AQ61" s="85"/>
      <c r="AR61" s="85"/>
      <c r="AS61" s="85"/>
      <c r="AT61" s="85"/>
      <c r="AU61" s="85"/>
      <c r="AV61" s="85"/>
      <c r="AW61" s="85"/>
      <c r="AX61" s="85"/>
      <c r="AY61" s="85"/>
      <c r="XET61" s="80"/>
      <c r="XEU61" s="80"/>
    </row>
    <row r="62" spans="1:51 16374:16375" s="79" customFormat="1" ht="40.15" customHeight="1" thickBot="1" x14ac:dyDescent="0.25">
      <c r="A62" s="85"/>
      <c r="B62" s="95"/>
      <c r="C62" s="85"/>
      <c r="D62" s="245"/>
      <c r="E62" s="251"/>
      <c r="F62" s="94"/>
      <c r="G62" s="85"/>
      <c r="H62" s="94"/>
      <c r="I62" s="85"/>
      <c r="J62" s="85"/>
      <c r="K62" s="248"/>
      <c r="L62" s="247"/>
      <c r="M62" s="94"/>
      <c r="N62" s="85"/>
      <c r="O62" s="85"/>
      <c r="P62" s="246"/>
      <c r="Q62" s="247" t="str">
        <f>IF(T62="0",S62,IF(T62="1",S63,""))</f>
        <v/>
      </c>
      <c r="R62" s="85"/>
      <c r="S62" s="83"/>
      <c r="T62" s="84"/>
      <c r="U62" s="85"/>
      <c r="V62" s="247" t="str">
        <f>IF(T62="1",S62,IF(T62="0",S63,""))</f>
        <v/>
      </c>
      <c r="W62" s="246"/>
      <c r="X62" s="85"/>
      <c r="Y62" s="85"/>
      <c r="Z62" s="94"/>
      <c r="AA62" s="247"/>
      <c r="AB62" s="246"/>
      <c r="AC62" s="85"/>
      <c r="AD62" s="85"/>
      <c r="AE62" s="95"/>
      <c r="AF62" s="85"/>
      <c r="AG62" s="95"/>
      <c r="AH62" s="251"/>
      <c r="AI62" s="245"/>
      <c r="AJ62" s="85"/>
      <c r="AK62" s="97"/>
      <c r="AL62" s="85"/>
      <c r="AM62" s="85"/>
      <c r="AN62" s="85"/>
      <c r="AO62" s="85"/>
      <c r="AP62" s="85"/>
      <c r="AQ62" s="85"/>
      <c r="AR62" s="85"/>
      <c r="AS62" s="85"/>
      <c r="AT62" s="85"/>
      <c r="AU62" s="85"/>
      <c r="AV62" s="85"/>
      <c r="AW62" s="85"/>
      <c r="AX62" s="85"/>
      <c r="AY62" s="85"/>
      <c r="XET62" s="80"/>
      <c r="XEU62" s="80"/>
    </row>
    <row r="63" spans="1:51 16374:16375" s="79" customFormat="1" ht="40.15" customHeight="1" thickBot="1" x14ac:dyDescent="0.25">
      <c r="A63" s="85"/>
      <c r="B63" s="95"/>
      <c r="C63" s="85"/>
      <c r="D63" s="245"/>
      <c r="E63" s="251"/>
      <c r="F63" s="94"/>
      <c r="G63" s="85"/>
      <c r="H63" s="94"/>
      <c r="I63" s="85"/>
      <c r="J63" s="85"/>
      <c r="K63" s="94"/>
      <c r="L63" s="85"/>
      <c r="M63" s="94"/>
      <c r="N63" s="85"/>
      <c r="O63" s="85"/>
      <c r="P63" s="246"/>
      <c r="Q63" s="247"/>
      <c r="R63" s="85"/>
      <c r="S63" s="83"/>
      <c r="T63" s="84"/>
      <c r="U63" s="85"/>
      <c r="V63" s="247"/>
      <c r="W63" s="246"/>
      <c r="X63" s="85"/>
      <c r="Y63" s="85"/>
      <c r="Z63" s="94"/>
      <c r="AA63" s="85"/>
      <c r="AB63" s="94"/>
      <c r="AC63" s="85"/>
      <c r="AD63" s="85"/>
      <c r="AE63" s="95"/>
      <c r="AF63" s="98"/>
      <c r="AG63" s="95"/>
      <c r="AH63" s="251"/>
      <c r="AI63" s="245"/>
      <c r="AJ63" s="85"/>
      <c r="AK63" s="97"/>
      <c r="AL63" s="85"/>
      <c r="AM63" s="85"/>
      <c r="AN63" s="85"/>
      <c r="AO63" s="85"/>
      <c r="AP63" s="85"/>
      <c r="AQ63" s="85"/>
      <c r="AR63" s="85"/>
      <c r="AS63" s="85"/>
      <c r="AT63" s="85"/>
      <c r="AU63" s="85"/>
      <c r="AV63" s="85"/>
      <c r="AW63" s="85"/>
      <c r="AX63" s="85"/>
      <c r="AY63" s="85"/>
      <c r="XET63" s="80"/>
      <c r="XEU63" s="80"/>
    </row>
    <row r="64" spans="1:51 16374:16375" s="79" customFormat="1" ht="27.75" customHeight="1" x14ac:dyDescent="0.2">
      <c r="A64" s="85"/>
      <c r="B64" s="95"/>
      <c r="C64" s="85"/>
      <c r="D64" s="95"/>
      <c r="E64" s="85"/>
      <c r="F64" s="94"/>
      <c r="G64" s="85"/>
      <c r="H64" s="94"/>
      <c r="I64" s="85"/>
      <c r="J64" s="85"/>
      <c r="K64" s="94"/>
      <c r="L64" s="85"/>
      <c r="M64" s="94"/>
      <c r="N64" s="85"/>
      <c r="O64" s="85"/>
      <c r="P64" s="94"/>
      <c r="Q64" s="85"/>
      <c r="R64" s="85"/>
      <c r="S64" s="95"/>
      <c r="T64" s="96"/>
      <c r="U64" s="85"/>
      <c r="V64" s="85"/>
      <c r="W64" s="95"/>
      <c r="X64" s="85"/>
      <c r="Y64" s="85"/>
      <c r="Z64" s="94"/>
      <c r="AA64" s="85"/>
      <c r="AB64" s="94"/>
      <c r="AC64" s="85"/>
      <c r="AD64" s="85"/>
      <c r="AE64" s="95"/>
      <c r="AF64" s="85"/>
      <c r="AG64" s="95"/>
      <c r="AH64" s="85"/>
      <c r="AI64" s="95"/>
      <c r="AJ64" s="85"/>
      <c r="AK64" s="97"/>
      <c r="AL64" s="85"/>
      <c r="AM64" s="85"/>
      <c r="AN64" s="85"/>
      <c r="AO64" s="85"/>
      <c r="AP64" s="85"/>
      <c r="AQ64" s="85"/>
      <c r="AR64" s="85"/>
      <c r="AS64" s="85"/>
      <c r="AT64" s="85"/>
      <c r="AU64" s="85"/>
      <c r="AV64" s="85"/>
      <c r="AW64" s="85"/>
      <c r="AX64" s="85"/>
      <c r="AY64" s="85"/>
      <c r="XET64" s="80"/>
      <c r="XEU64" s="80"/>
    </row>
    <row r="65" spans="1:51 16374:16375" s="79" customFormat="1" ht="23.25" x14ac:dyDescent="0.2">
      <c r="A65" s="85"/>
      <c r="B65" s="95"/>
      <c r="C65" s="85"/>
      <c r="D65" s="95"/>
      <c r="E65" s="85"/>
      <c r="F65" s="94"/>
      <c r="G65" s="85"/>
      <c r="H65" s="94"/>
      <c r="I65" s="85"/>
      <c r="J65" s="85"/>
      <c r="K65" s="94"/>
      <c r="L65" s="85"/>
      <c r="M65" s="94"/>
      <c r="N65" s="85"/>
      <c r="O65" s="85"/>
      <c r="P65" s="94"/>
      <c r="Q65" s="85"/>
      <c r="R65" s="85"/>
      <c r="S65" s="95"/>
      <c r="T65" s="96"/>
      <c r="U65" s="85"/>
      <c r="V65" s="85"/>
      <c r="W65" s="95"/>
      <c r="X65" s="85"/>
      <c r="Y65" s="85"/>
      <c r="Z65" s="94"/>
      <c r="AA65" s="85"/>
      <c r="AB65" s="94"/>
      <c r="AC65" s="85"/>
      <c r="AD65" s="85"/>
      <c r="AE65" s="95"/>
      <c r="AF65" s="85"/>
      <c r="AG65" s="95"/>
      <c r="AH65" s="85"/>
      <c r="AI65" s="95"/>
      <c r="AJ65" s="85"/>
      <c r="AK65" s="97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85"/>
      <c r="XET65" s="80"/>
      <c r="XEU65" s="80"/>
    </row>
    <row r="66" spans="1:51 16374:16375" s="79" customFormat="1" ht="24" thickBot="1" x14ac:dyDescent="0.25">
      <c r="A66" s="85"/>
      <c r="B66" s="95"/>
      <c r="C66" s="85"/>
      <c r="D66" s="95"/>
      <c r="E66" s="85"/>
      <c r="F66" s="94"/>
      <c r="G66" s="85"/>
      <c r="H66" s="94"/>
      <c r="I66" s="85"/>
      <c r="J66" s="85"/>
      <c r="K66" s="94"/>
      <c r="L66" s="85"/>
      <c r="M66" s="94"/>
      <c r="N66" s="85"/>
      <c r="O66" s="85"/>
      <c r="P66" s="94"/>
      <c r="Q66" s="85"/>
      <c r="R66" s="85"/>
      <c r="S66" s="95"/>
      <c r="T66" s="96"/>
      <c r="U66" s="85"/>
      <c r="V66" s="85"/>
      <c r="W66" s="95"/>
      <c r="X66" s="85"/>
      <c r="Y66" s="85"/>
      <c r="Z66" s="94"/>
      <c r="AA66" s="85"/>
      <c r="AB66" s="94"/>
      <c r="AC66" s="85"/>
      <c r="AD66" s="85"/>
      <c r="AE66" s="95"/>
      <c r="AF66" s="85"/>
      <c r="AG66" s="95"/>
      <c r="AH66" s="85"/>
      <c r="AI66" s="95"/>
      <c r="AJ66" s="85"/>
      <c r="AK66" s="97"/>
      <c r="AL66" s="85"/>
      <c r="AM66" s="85"/>
      <c r="AN66" s="85"/>
      <c r="AO66" s="85"/>
      <c r="AP66" s="85"/>
      <c r="AQ66" s="85"/>
      <c r="AR66" s="85"/>
      <c r="AS66" s="85"/>
      <c r="AT66" s="85"/>
      <c r="AU66" s="85"/>
      <c r="AV66" s="85"/>
      <c r="AW66" s="85"/>
      <c r="AX66" s="85"/>
      <c r="AY66" s="85"/>
      <c r="XET66" s="80"/>
      <c r="XEU66" s="80"/>
    </row>
    <row r="67" spans="1:51 16374:16375" s="79" customFormat="1" ht="40.15" customHeight="1" thickBot="1" x14ac:dyDescent="0.25">
      <c r="A67" s="85"/>
      <c r="B67" s="95"/>
      <c r="C67" s="85"/>
      <c r="D67" s="252"/>
      <c r="E67" s="251" t="str">
        <f>IF(K68="0",L68,IF(K68="1",L78,""))</f>
        <v/>
      </c>
      <c r="F67" s="94"/>
      <c r="G67" s="85"/>
      <c r="H67" s="94"/>
      <c r="I67" s="85"/>
      <c r="J67" s="85"/>
      <c r="K67" s="94"/>
      <c r="L67" s="85"/>
      <c r="M67" s="94"/>
      <c r="N67" s="85"/>
      <c r="O67" s="85"/>
      <c r="P67" s="246"/>
      <c r="Q67" s="247" t="str">
        <f>IF(T67="0",S67,IF(T67="1",S68,""))</f>
        <v/>
      </c>
      <c r="R67" s="85"/>
      <c r="S67" s="83"/>
      <c r="T67" s="84"/>
      <c r="U67" s="85"/>
      <c r="V67" s="247" t="str">
        <f>IF(T67="1",S67,IF(T67="0",S68,""))</f>
        <v/>
      </c>
      <c r="W67" s="246"/>
      <c r="X67" s="85"/>
      <c r="Y67" s="85"/>
      <c r="Z67" s="94"/>
      <c r="AA67" s="85"/>
      <c r="AB67" s="94"/>
      <c r="AC67" s="85"/>
      <c r="AD67" s="85"/>
      <c r="AE67" s="95"/>
      <c r="AF67" s="85"/>
      <c r="AG67" s="95"/>
      <c r="AH67" s="251" t="str">
        <f>IF(AB68="0",AA68,IF(AB68="1",AA78,""))</f>
        <v/>
      </c>
      <c r="AI67" s="245"/>
      <c r="AJ67" s="85"/>
      <c r="AK67" s="97"/>
      <c r="AL67" s="85"/>
      <c r="AM67" s="85"/>
      <c r="AN67" s="85"/>
      <c r="AO67" s="85"/>
      <c r="AP67" s="85"/>
      <c r="AQ67" s="85"/>
      <c r="AR67" s="85"/>
      <c r="AS67" s="85"/>
      <c r="AT67" s="85"/>
      <c r="AU67" s="85"/>
      <c r="AV67" s="85"/>
      <c r="AW67" s="85"/>
      <c r="AX67" s="85"/>
      <c r="AY67" s="85"/>
      <c r="XET67" s="80"/>
      <c r="XEU67" s="80"/>
    </row>
    <row r="68" spans="1:51 16374:16375" s="79" customFormat="1" ht="40.15" customHeight="1" thickBot="1" x14ac:dyDescent="0.25">
      <c r="A68" s="85"/>
      <c r="B68" s="95"/>
      <c r="C68" s="85"/>
      <c r="D68" s="253"/>
      <c r="E68" s="251"/>
      <c r="F68" s="94"/>
      <c r="G68" s="85"/>
      <c r="H68" s="94"/>
      <c r="I68" s="85"/>
      <c r="J68" s="85"/>
      <c r="K68" s="246"/>
      <c r="L68" s="247" t="str">
        <f>IF(P67="1",Q67,IF(P67="0",Q71,""))</f>
        <v/>
      </c>
      <c r="M68" s="94"/>
      <c r="N68" s="85"/>
      <c r="O68" s="85"/>
      <c r="P68" s="246"/>
      <c r="Q68" s="247"/>
      <c r="R68" s="85"/>
      <c r="S68" s="83"/>
      <c r="T68" s="84"/>
      <c r="U68" s="85"/>
      <c r="V68" s="247"/>
      <c r="W68" s="246"/>
      <c r="X68" s="85"/>
      <c r="Y68" s="85"/>
      <c r="Z68" s="94"/>
      <c r="AA68" s="247" t="str">
        <f>IF(W67="1",V67,IF(W67="0",V71,""))</f>
        <v/>
      </c>
      <c r="AB68" s="246"/>
      <c r="AC68" s="85"/>
      <c r="AD68" s="85"/>
      <c r="AE68" s="95"/>
      <c r="AF68" s="85"/>
      <c r="AG68" s="95"/>
      <c r="AH68" s="251"/>
      <c r="AI68" s="245"/>
      <c r="AJ68" s="85"/>
      <c r="AK68" s="97"/>
      <c r="AL68" s="85"/>
      <c r="AM68" s="85"/>
      <c r="AN68" s="85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XET68" s="80"/>
      <c r="XEU68" s="80"/>
    </row>
    <row r="69" spans="1:51 16374:16375" s="79" customFormat="1" ht="16.350000000000001" customHeight="1" thickBot="1" x14ac:dyDescent="0.25">
      <c r="A69" s="85"/>
      <c r="B69" s="95"/>
      <c r="C69" s="85"/>
      <c r="D69" s="253"/>
      <c r="E69" s="251"/>
      <c r="F69" s="94"/>
      <c r="G69" s="85"/>
      <c r="H69" s="94"/>
      <c r="I69" s="85"/>
      <c r="J69" s="85"/>
      <c r="K69" s="246"/>
      <c r="L69" s="247"/>
      <c r="M69" s="94"/>
      <c r="N69" s="85"/>
      <c r="O69" s="85"/>
      <c r="P69" s="94"/>
      <c r="Q69" s="85"/>
      <c r="R69" s="85"/>
      <c r="S69" s="95"/>
      <c r="T69" s="96"/>
      <c r="U69" s="85"/>
      <c r="V69" s="85"/>
      <c r="W69" s="95"/>
      <c r="X69" s="85"/>
      <c r="Y69" s="85"/>
      <c r="Z69" s="94"/>
      <c r="AA69" s="247"/>
      <c r="AB69" s="246"/>
      <c r="AC69" s="85"/>
      <c r="AD69" s="85"/>
      <c r="AE69" s="95"/>
      <c r="AF69" s="85"/>
      <c r="AG69" s="95"/>
      <c r="AH69" s="251"/>
      <c r="AI69" s="245"/>
      <c r="AJ69" s="85"/>
      <c r="AK69" s="97"/>
      <c r="AL69" s="85"/>
      <c r="AM69" s="85"/>
      <c r="AN69" s="85"/>
      <c r="AO69" s="85"/>
      <c r="AP69" s="85"/>
      <c r="AQ69" s="85"/>
      <c r="AR69" s="85"/>
      <c r="AS69" s="85"/>
      <c r="AT69" s="85"/>
      <c r="AU69" s="85"/>
      <c r="AV69" s="85"/>
      <c r="AW69" s="85"/>
      <c r="AX69" s="85"/>
      <c r="AY69" s="85"/>
      <c r="XET69" s="80"/>
      <c r="XEU69" s="80"/>
    </row>
    <row r="70" spans="1:51 16374:16375" s="79" customFormat="1" ht="22.35" customHeight="1" thickBot="1" x14ac:dyDescent="0.25">
      <c r="A70" s="85"/>
      <c r="B70" s="95"/>
      <c r="C70" s="85"/>
      <c r="D70" s="254"/>
      <c r="E70" s="251"/>
      <c r="F70" s="94"/>
      <c r="G70" s="85"/>
      <c r="H70" s="94"/>
      <c r="I70" s="85"/>
      <c r="J70" s="85"/>
      <c r="K70" s="246"/>
      <c r="L70" s="247"/>
      <c r="M70" s="94"/>
      <c r="N70" s="85"/>
      <c r="O70" s="85"/>
      <c r="P70" s="94"/>
      <c r="Q70" s="85"/>
      <c r="R70" s="85"/>
      <c r="S70" s="95"/>
      <c r="T70" s="96"/>
      <c r="U70" s="85"/>
      <c r="V70" s="85"/>
      <c r="W70" s="95"/>
      <c r="X70" s="85"/>
      <c r="Y70" s="85"/>
      <c r="Z70" s="94"/>
      <c r="AA70" s="247"/>
      <c r="AB70" s="246"/>
      <c r="AC70" s="85"/>
      <c r="AD70" s="85"/>
      <c r="AE70" s="95"/>
      <c r="AF70" s="85"/>
      <c r="AG70" s="95"/>
      <c r="AH70" s="251"/>
      <c r="AI70" s="245"/>
      <c r="AJ70" s="85"/>
      <c r="AK70" s="97"/>
      <c r="AL70" s="85"/>
      <c r="AM70" s="85"/>
      <c r="AN70" s="85"/>
      <c r="AO70" s="85"/>
      <c r="AP70" s="85"/>
      <c r="AQ70" s="85"/>
      <c r="AR70" s="85"/>
      <c r="AS70" s="85"/>
      <c r="AT70" s="85"/>
      <c r="AU70" s="85"/>
      <c r="AV70" s="85"/>
      <c r="AW70" s="85"/>
      <c r="AX70" s="85"/>
      <c r="AY70" s="85"/>
      <c r="XET70" s="80"/>
      <c r="XEU70" s="80"/>
    </row>
    <row r="71" spans="1:51 16374:16375" s="79" customFormat="1" ht="40.15" customHeight="1" thickBot="1" x14ac:dyDescent="0.25">
      <c r="A71" s="85"/>
      <c r="B71" s="95"/>
      <c r="C71" s="85"/>
      <c r="D71" s="85"/>
      <c r="E71" s="85"/>
      <c r="F71" s="94"/>
      <c r="G71" s="85"/>
      <c r="H71" s="94"/>
      <c r="I71" s="85"/>
      <c r="J71" s="85"/>
      <c r="K71" s="94"/>
      <c r="L71" s="85"/>
      <c r="M71" s="94"/>
      <c r="N71" s="85"/>
      <c r="O71" s="85"/>
      <c r="P71" s="246"/>
      <c r="Q71" s="247" t="str">
        <f>IF(T71="0",S71,IF(T71="1",S72,""))</f>
        <v/>
      </c>
      <c r="R71" s="85"/>
      <c r="S71" s="83"/>
      <c r="T71" s="84"/>
      <c r="U71" s="85"/>
      <c r="V71" s="247" t="str">
        <f>IF(T71="1",S71,IF(T71="0",S72,""))</f>
        <v/>
      </c>
      <c r="W71" s="246"/>
      <c r="X71" s="85"/>
      <c r="Y71" s="85"/>
      <c r="Z71" s="94"/>
      <c r="AA71" s="85"/>
      <c r="AB71" s="94"/>
      <c r="AC71" s="85"/>
      <c r="AD71" s="85"/>
      <c r="AE71" s="95"/>
      <c r="AF71" s="85"/>
      <c r="AG71" s="95"/>
      <c r="AH71" s="85"/>
      <c r="AI71" s="85"/>
      <c r="AJ71" s="85"/>
      <c r="AK71" s="97"/>
      <c r="AL71" s="85"/>
      <c r="AM71" s="85"/>
      <c r="AN71" s="85"/>
      <c r="AO71" s="85"/>
      <c r="AP71" s="85"/>
      <c r="AQ71" s="85"/>
      <c r="AR71" s="85"/>
      <c r="AS71" s="85"/>
      <c r="AT71" s="85"/>
      <c r="AU71" s="85"/>
      <c r="AV71" s="85"/>
      <c r="AW71" s="85"/>
      <c r="AX71" s="85"/>
      <c r="AY71" s="85"/>
      <c r="XET71" s="80"/>
      <c r="XEU71" s="80"/>
    </row>
    <row r="72" spans="1:51 16374:16375" s="79" customFormat="1" ht="40.15" customHeight="1" thickBot="1" x14ac:dyDescent="0.25">
      <c r="A72" s="85"/>
      <c r="B72" s="246"/>
      <c r="C72" s="242" t="str">
        <f>IF(K68="1",L68,IF(M72="0",L78,""))</f>
        <v/>
      </c>
      <c r="D72" s="85"/>
      <c r="E72" s="85"/>
      <c r="F72" s="250"/>
      <c r="G72" s="249" t="str">
        <f>IF(M72="1",N72,IF(M72="0",N75,""))</f>
        <v/>
      </c>
      <c r="H72" s="94"/>
      <c r="I72" s="85"/>
      <c r="J72" s="85"/>
      <c r="K72" s="94"/>
      <c r="L72" s="85"/>
      <c r="M72" s="245"/>
      <c r="N72" s="244" t="str">
        <f>IF(P67="0",Q67,IF(P67="1",Q71,""))</f>
        <v/>
      </c>
      <c r="O72" s="85"/>
      <c r="P72" s="246"/>
      <c r="Q72" s="247"/>
      <c r="R72" s="85"/>
      <c r="S72" s="83"/>
      <c r="T72" s="84"/>
      <c r="U72" s="85"/>
      <c r="V72" s="247"/>
      <c r="W72" s="246"/>
      <c r="X72" s="85"/>
      <c r="Y72" s="249" t="str">
        <f>IF(W67="0",V67,IF(W67="1",V71,""))</f>
        <v/>
      </c>
      <c r="Z72" s="245"/>
      <c r="AA72" s="85"/>
      <c r="AB72" s="94"/>
      <c r="AC72" s="85"/>
      <c r="AD72" s="85"/>
      <c r="AE72" s="95"/>
      <c r="AF72" s="249" t="str">
        <f>IF(Z72="1",Y72,IF(Z72="0",Y75,""))</f>
        <v/>
      </c>
      <c r="AG72" s="245"/>
      <c r="AH72" s="85"/>
      <c r="AI72" s="85"/>
      <c r="AJ72" s="242" t="str">
        <f>IF(AB68="1",AA68,IF(W67="0",AA78,""))</f>
        <v/>
      </c>
      <c r="AK72" s="243"/>
      <c r="AL72" s="85"/>
      <c r="AM72" s="85"/>
      <c r="AN72" s="85"/>
      <c r="AO72" s="85"/>
      <c r="AP72" s="85"/>
      <c r="AQ72" s="85"/>
      <c r="AR72" s="85"/>
      <c r="AS72" s="85"/>
      <c r="AT72" s="85"/>
      <c r="AU72" s="85"/>
      <c r="AV72" s="85"/>
      <c r="AW72" s="85"/>
      <c r="AX72" s="85"/>
      <c r="AY72" s="85"/>
      <c r="XET72" s="80"/>
      <c r="XEU72" s="80"/>
    </row>
    <row r="73" spans="1:51 16374:16375" s="79" customFormat="1" ht="21.75" customHeight="1" thickBot="1" x14ac:dyDescent="0.25">
      <c r="A73" s="85"/>
      <c r="B73" s="246"/>
      <c r="C73" s="242"/>
      <c r="D73" s="85"/>
      <c r="E73" s="85"/>
      <c r="F73" s="250"/>
      <c r="G73" s="249"/>
      <c r="H73" s="94"/>
      <c r="I73" s="85"/>
      <c r="J73" s="85"/>
      <c r="K73" s="94"/>
      <c r="L73" s="85"/>
      <c r="M73" s="245"/>
      <c r="N73" s="244"/>
      <c r="O73" s="85"/>
      <c r="P73" s="94"/>
      <c r="Q73" s="85"/>
      <c r="R73" s="85"/>
      <c r="S73" s="95"/>
      <c r="T73" s="96"/>
      <c r="U73" s="85"/>
      <c r="V73" s="85"/>
      <c r="W73" s="95"/>
      <c r="X73" s="85"/>
      <c r="Y73" s="249"/>
      <c r="Z73" s="245"/>
      <c r="AA73" s="85"/>
      <c r="AB73" s="94"/>
      <c r="AC73" s="85"/>
      <c r="AD73" s="85"/>
      <c r="AE73" s="95"/>
      <c r="AF73" s="249"/>
      <c r="AG73" s="245"/>
      <c r="AH73" s="85"/>
      <c r="AI73" s="85"/>
      <c r="AJ73" s="242"/>
      <c r="AK73" s="243"/>
      <c r="AL73" s="85"/>
      <c r="AM73" s="85"/>
      <c r="AN73" s="85"/>
      <c r="AO73" s="85"/>
      <c r="AP73" s="85"/>
      <c r="AQ73" s="85"/>
      <c r="AR73" s="85"/>
      <c r="AS73" s="85"/>
      <c r="AT73" s="85"/>
      <c r="AU73" s="85"/>
      <c r="AV73" s="85"/>
      <c r="AW73" s="85"/>
      <c r="AX73" s="85"/>
      <c r="AY73" s="85"/>
      <c r="XET73" s="80"/>
      <c r="XEU73" s="80"/>
    </row>
    <row r="74" spans="1:51 16374:16375" s="79" customFormat="1" ht="8.65" customHeight="1" thickBot="1" x14ac:dyDescent="0.25">
      <c r="A74" s="85"/>
      <c r="B74" s="246"/>
      <c r="C74" s="242"/>
      <c r="D74" s="85"/>
      <c r="E74" s="85"/>
      <c r="F74" s="85"/>
      <c r="G74" s="85"/>
      <c r="H74" s="94"/>
      <c r="I74" s="85"/>
      <c r="J74" s="85"/>
      <c r="K74" s="94"/>
      <c r="L74" s="85"/>
      <c r="M74" s="94"/>
      <c r="N74" s="85"/>
      <c r="O74" s="85"/>
      <c r="P74" s="94"/>
      <c r="Q74" s="85"/>
      <c r="R74" s="85"/>
      <c r="S74" s="95"/>
      <c r="T74" s="96"/>
      <c r="U74" s="85"/>
      <c r="V74" s="85"/>
      <c r="W74" s="95"/>
      <c r="X74" s="85"/>
      <c r="Y74" s="85"/>
      <c r="Z74" s="95"/>
      <c r="AA74" s="85"/>
      <c r="AB74" s="94"/>
      <c r="AC74" s="85"/>
      <c r="AD74" s="85"/>
      <c r="AE74" s="95"/>
      <c r="AF74" s="85"/>
      <c r="AG74" s="85"/>
      <c r="AH74" s="85"/>
      <c r="AI74" s="85"/>
      <c r="AJ74" s="242"/>
      <c r="AK74" s="243"/>
      <c r="AL74" s="85"/>
      <c r="AM74" s="85"/>
      <c r="AN74" s="85"/>
      <c r="AO74" s="85"/>
      <c r="AP74" s="85"/>
      <c r="AQ74" s="85"/>
      <c r="AR74" s="85"/>
      <c r="AS74" s="85"/>
      <c r="AT74" s="85"/>
      <c r="AU74" s="85"/>
      <c r="AV74" s="85"/>
      <c r="AW74" s="85"/>
      <c r="AX74" s="85"/>
      <c r="AY74" s="85"/>
      <c r="XET74" s="80"/>
      <c r="XEU74" s="80"/>
    </row>
    <row r="75" spans="1:51 16374:16375" s="79" customFormat="1" ht="24" customHeight="1" thickBot="1" x14ac:dyDescent="0.25">
      <c r="A75" s="85"/>
      <c r="B75" s="246"/>
      <c r="C75" s="242"/>
      <c r="D75" s="85"/>
      <c r="E75" s="85"/>
      <c r="F75" s="85"/>
      <c r="G75" s="85"/>
      <c r="H75" s="250"/>
      <c r="I75" s="249" t="str">
        <f>IF(M72="0",N72,IF(M72="1",N75,""))</f>
        <v/>
      </c>
      <c r="J75" s="85"/>
      <c r="K75" s="94"/>
      <c r="L75" s="85"/>
      <c r="M75" s="245"/>
      <c r="N75" s="249" t="str">
        <f>IF(P76="0",Q76,IF(P76="1",Q80,""))</f>
        <v/>
      </c>
      <c r="O75" s="85"/>
      <c r="P75" s="94"/>
      <c r="Q75" s="85"/>
      <c r="R75" s="85"/>
      <c r="S75" s="95"/>
      <c r="T75" s="96"/>
      <c r="U75" s="85"/>
      <c r="V75" s="85"/>
      <c r="W75" s="95"/>
      <c r="X75" s="85"/>
      <c r="Y75" s="249" t="str">
        <f>IF(W76="0",V76,IF(W76="1",V80,""))</f>
        <v/>
      </c>
      <c r="Z75" s="245"/>
      <c r="AA75" s="85"/>
      <c r="AB75" s="94"/>
      <c r="AC75" s="85"/>
      <c r="AD75" s="244" t="str">
        <f>IF(Z72="0",Y72,IF(Z72="1",Y75,""))</f>
        <v/>
      </c>
      <c r="AE75" s="245"/>
      <c r="AF75" s="85"/>
      <c r="AG75" s="85"/>
      <c r="AH75" s="85"/>
      <c r="AI75" s="85"/>
      <c r="AJ75" s="242"/>
      <c r="AK75" s="243"/>
      <c r="AL75" s="85"/>
      <c r="AM75" s="85"/>
      <c r="AN75" s="85"/>
      <c r="AO75" s="85"/>
      <c r="AP75" s="85"/>
      <c r="AQ75" s="85"/>
      <c r="AR75" s="85"/>
      <c r="AS75" s="85"/>
      <c r="AT75" s="85"/>
      <c r="AU75" s="85"/>
      <c r="AV75" s="85"/>
      <c r="AW75" s="85"/>
      <c r="AX75" s="85"/>
      <c r="AY75" s="85"/>
      <c r="XET75" s="80"/>
      <c r="XEU75" s="80"/>
    </row>
    <row r="76" spans="1:51 16374:16375" s="79" customFormat="1" ht="40.15" customHeight="1" thickBot="1" x14ac:dyDescent="0.25">
      <c r="A76" s="85"/>
      <c r="B76" s="246"/>
      <c r="C76" s="242"/>
      <c r="D76" s="85"/>
      <c r="E76" s="85"/>
      <c r="F76" s="85"/>
      <c r="G76" s="85"/>
      <c r="H76" s="250"/>
      <c r="I76" s="249"/>
      <c r="J76" s="85"/>
      <c r="K76" s="94"/>
      <c r="L76" s="85"/>
      <c r="M76" s="245"/>
      <c r="N76" s="249"/>
      <c r="O76" s="85"/>
      <c r="P76" s="246"/>
      <c r="Q76" s="247" t="str">
        <f>IF(T76="0",S76,IF(T76="1",S77,""))</f>
        <v/>
      </c>
      <c r="R76" s="85"/>
      <c r="S76" s="83"/>
      <c r="T76" s="84"/>
      <c r="U76" s="85"/>
      <c r="V76" s="247" t="str">
        <f>IF(T76="1",S76,IF(T76="0",S77,""))</f>
        <v/>
      </c>
      <c r="W76" s="246"/>
      <c r="X76" s="85"/>
      <c r="Y76" s="249"/>
      <c r="Z76" s="245"/>
      <c r="AA76" s="85"/>
      <c r="AB76" s="94"/>
      <c r="AC76" s="85"/>
      <c r="AD76" s="244"/>
      <c r="AE76" s="245"/>
      <c r="AF76" s="85"/>
      <c r="AG76" s="85"/>
      <c r="AH76" s="85"/>
      <c r="AI76" s="85"/>
      <c r="AJ76" s="242"/>
      <c r="AK76" s="243"/>
      <c r="AL76" s="85"/>
      <c r="AM76" s="85"/>
      <c r="AN76" s="85"/>
      <c r="AO76" s="85"/>
      <c r="AP76" s="85"/>
      <c r="AQ76" s="85"/>
      <c r="AR76" s="85"/>
      <c r="AS76" s="85"/>
      <c r="AT76" s="85"/>
      <c r="AU76" s="85"/>
      <c r="AV76" s="85"/>
      <c r="AW76" s="85"/>
      <c r="AX76" s="85"/>
      <c r="AY76" s="85"/>
      <c r="XET76" s="80"/>
      <c r="XEU76" s="80"/>
    </row>
    <row r="77" spans="1:51 16374:16375" s="79" customFormat="1" ht="40.15" customHeight="1" thickBot="1" x14ac:dyDescent="0.25">
      <c r="A77" s="85"/>
      <c r="B77" s="85"/>
      <c r="C77" s="85"/>
      <c r="D77" s="85"/>
      <c r="E77" s="85"/>
      <c r="F77" s="85"/>
      <c r="G77" s="85"/>
      <c r="H77" s="85"/>
      <c r="I77" s="85"/>
      <c r="J77" s="85"/>
      <c r="K77" s="94"/>
      <c r="L77" s="85"/>
      <c r="M77" s="85"/>
      <c r="N77" s="85"/>
      <c r="O77" s="85"/>
      <c r="P77" s="246"/>
      <c r="Q77" s="247"/>
      <c r="R77" s="85"/>
      <c r="S77" s="83"/>
      <c r="T77" s="84"/>
      <c r="U77" s="85"/>
      <c r="V77" s="247"/>
      <c r="W77" s="246"/>
      <c r="X77" s="85"/>
      <c r="Y77" s="85"/>
      <c r="Z77" s="85"/>
      <c r="AA77" s="85"/>
      <c r="AB77" s="94"/>
      <c r="AC77" s="85"/>
      <c r="AD77" s="85"/>
      <c r="AE77" s="85"/>
      <c r="AF77" s="85"/>
      <c r="AG77" s="85"/>
      <c r="AH77" s="85"/>
      <c r="AI77" s="85"/>
      <c r="AJ77" s="85"/>
      <c r="AK77" s="85"/>
      <c r="AL77" s="85"/>
      <c r="AM77" s="85"/>
      <c r="AN77" s="85"/>
      <c r="AO77" s="85"/>
      <c r="AP77" s="85"/>
      <c r="AQ77" s="85"/>
      <c r="AR77" s="85"/>
      <c r="AS77" s="85"/>
      <c r="AT77" s="85"/>
      <c r="AU77" s="85"/>
      <c r="AV77" s="85"/>
      <c r="AW77" s="85"/>
      <c r="AX77" s="85"/>
      <c r="AY77" s="85"/>
      <c r="XET77" s="80"/>
      <c r="XEU77" s="80"/>
    </row>
    <row r="78" spans="1:51 16374:16375" s="79" customFormat="1" ht="30.2" customHeight="1" thickBot="1" x14ac:dyDescent="0.25">
      <c r="A78" s="85"/>
      <c r="B78" s="85"/>
      <c r="C78" s="85"/>
      <c r="D78" s="85"/>
      <c r="E78" s="85"/>
      <c r="F78" s="85"/>
      <c r="G78" s="85"/>
      <c r="H78" s="85"/>
      <c r="I78" s="85"/>
      <c r="J78" s="85"/>
      <c r="K78" s="248"/>
      <c r="L78" s="247" t="str">
        <f>IF(P76="1",Q76,IF(P76="0",Q80,""))</f>
        <v/>
      </c>
      <c r="M78" s="85"/>
      <c r="N78" s="85"/>
      <c r="O78" s="85"/>
      <c r="P78" s="94"/>
      <c r="Q78" s="85"/>
      <c r="R78" s="85"/>
      <c r="S78" s="95"/>
      <c r="T78" s="96"/>
      <c r="U78" s="85"/>
      <c r="V78" s="85"/>
      <c r="W78" s="95"/>
      <c r="X78" s="85"/>
      <c r="Y78" s="85"/>
      <c r="Z78" s="85"/>
      <c r="AA78" s="247" t="str">
        <f>IF(W76="1",V76,IF(W76="0",V80,""))</f>
        <v/>
      </c>
      <c r="AB78" s="246"/>
      <c r="AC78" s="85"/>
      <c r="AD78" s="85"/>
      <c r="AE78" s="85"/>
      <c r="AF78" s="85"/>
      <c r="AG78" s="85"/>
      <c r="AH78" s="85"/>
      <c r="AI78" s="85"/>
      <c r="AJ78" s="85"/>
      <c r="AK78" s="85"/>
      <c r="AL78" s="85"/>
      <c r="AM78" s="85"/>
      <c r="AN78" s="85"/>
      <c r="AO78" s="85"/>
      <c r="AP78" s="85"/>
      <c r="AQ78" s="85"/>
      <c r="AR78" s="85"/>
      <c r="AS78" s="85"/>
      <c r="AT78" s="85"/>
      <c r="AU78" s="85"/>
      <c r="AV78" s="85"/>
      <c r="AW78" s="85"/>
      <c r="AX78" s="85"/>
      <c r="AY78" s="85"/>
      <c r="XET78" s="80"/>
      <c r="XEU78" s="80"/>
    </row>
    <row r="79" spans="1:51 16374:16375" s="79" customFormat="1" ht="16.149999999999999" customHeight="1" thickBot="1" x14ac:dyDescent="0.25">
      <c r="A79" s="85"/>
      <c r="B79" s="85"/>
      <c r="C79" s="85"/>
      <c r="D79" s="85"/>
      <c r="E79" s="85"/>
      <c r="F79" s="85"/>
      <c r="G79" s="85"/>
      <c r="H79" s="85"/>
      <c r="I79" s="85"/>
      <c r="J79" s="85"/>
      <c r="K79" s="248"/>
      <c r="L79" s="247"/>
      <c r="M79" s="85"/>
      <c r="N79" s="85"/>
      <c r="O79" s="85"/>
      <c r="P79" s="94"/>
      <c r="Q79" s="85"/>
      <c r="R79" s="85"/>
      <c r="S79" s="95"/>
      <c r="T79" s="96"/>
      <c r="U79" s="85"/>
      <c r="V79" s="85"/>
      <c r="W79" s="95"/>
      <c r="X79" s="85"/>
      <c r="Y79" s="85"/>
      <c r="Z79" s="85"/>
      <c r="AA79" s="247"/>
      <c r="AB79" s="246"/>
      <c r="AC79" s="85"/>
      <c r="AD79" s="85"/>
      <c r="AE79" s="85"/>
      <c r="AF79" s="85"/>
      <c r="AG79" s="85"/>
      <c r="AH79" s="85"/>
      <c r="AI79" s="85"/>
      <c r="AJ79" s="85"/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5"/>
      <c r="AV79" s="85"/>
      <c r="AW79" s="85"/>
      <c r="AX79" s="85"/>
      <c r="AY79" s="85"/>
      <c r="XET79" s="80"/>
      <c r="XEU79" s="80"/>
    </row>
    <row r="80" spans="1:51 16374:16375" s="79" customFormat="1" ht="40.15" customHeight="1" thickBot="1" x14ac:dyDescent="0.25">
      <c r="A80" s="85"/>
      <c r="B80" s="85"/>
      <c r="C80" s="85"/>
      <c r="D80" s="85"/>
      <c r="E80" s="85"/>
      <c r="F80" s="85"/>
      <c r="G80" s="85"/>
      <c r="H80" s="85"/>
      <c r="I80" s="85"/>
      <c r="J80" s="85"/>
      <c r="K80" s="248"/>
      <c r="L80" s="247"/>
      <c r="M80" s="85"/>
      <c r="N80" s="85"/>
      <c r="O80" s="85"/>
      <c r="P80" s="246"/>
      <c r="Q80" s="247" t="str">
        <f>IF(T80="0",S80,IF(T80="1",S81,""))</f>
        <v/>
      </c>
      <c r="R80" s="85"/>
      <c r="S80" s="83"/>
      <c r="T80" s="84"/>
      <c r="U80" s="85"/>
      <c r="V80" s="247" t="str">
        <f>IF(T80="1",S80,IF(T80="0",S81,""))</f>
        <v/>
      </c>
      <c r="W80" s="246"/>
      <c r="X80" s="85"/>
      <c r="Y80" s="85"/>
      <c r="Z80" s="85"/>
      <c r="AA80" s="247"/>
      <c r="AB80" s="246"/>
      <c r="AC80" s="85"/>
      <c r="AD80" s="85"/>
      <c r="AE80" s="85"/>
      <c r="AF80" s="85"/>
      <c r="AG80" s="85"/>
      <c r="AH80" s="85"/>
      <c r="AI80" s="85"/>
      <c r="AJ80" s="85"/>
      <c r="AK80" s="85"/>
      <c r="AL80" s="85"/>
      <c r="AM80" s="85"/>
      <c r="AN80" s="85"/>
      <c r="AO80" s="85"/>
      <c r="AP80" s="85"/>
      <c r="AQ80" s="85"/>
      <c r="AR80" s="85"/>
      <c r="AS80" s="85"/>
      <c r="AT80" s="85"/>
      <c r="AU80" s="85"/>
      <c r="AV80" s="85"/>
      <c r="AW80" s="85"/>
      <c r="AX80" s="85"/>
      <c r="AY80" s="85"/>
      <c r="XET80" s="80"/>
      <c r="XEU80" s="80"/>
    </row>
    <row r="81" spans="1:51 16374:16375" s="79" customFormat="1" ht="40.15" customHeight="1" thickBot="1" x14ac:dyDescent="0.25">
      <c r="A81" s="85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246"/>
      <c r="Q81" s="247"/>
      <c r="R81" s="85"/>
      <c r="S81" s="83"/>
      <c r="T81" s="84"/>
      <c r="U81" s="85"/>
      <c r="V81" s="247"/>
      <c r="W81" s="246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5"/>
      <c r="AM81" s="85"/>
      <c r="AN81" s="85"/>
      <c r="AO81" s="85"/>
      <c r="AP81" s="85"/>
      <c r="AQ81" s="85"/>
      <c r="AR81" s="85"/>
      <c r="AS81" s="85"/>
      <c r="AT81" s="85"/>
      <c r="AU81" s="85"/>
      <c r="AV81" s="85"/>
      <c r="AW81" s="85"/>
      <c r="AX81" s="85"/>
      <c r="AY81" s="85"/>
      <c r="XET81" s="80"/>
      <c r="XEU81" s="80"/>
    </row>
    <row r="82" spans="1:51 16374:16375" s="79" customFormat="1" ht="20.25" x14ac:dyDescent="0.3">
      <c r="A82" s="85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99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5"/>
      <c r="AV82" s="85"/>
      <c r="AW82" s="85"/>
      <c r="AX82" s="85"/>
      <c r="AY82" s="85"/>
      <c r="XET82" s="80"/>
      <c r="XEU82" s="80"/>
    </row>
    <row r="83" spans="1:51 16374:16375" s="79" customFormat="1" ht="12.75" customHeight="1" x14ac:dyDescent="0.3">
      <c r="A83" s="85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99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5"/>
      <c r="AV83" s="85"/>
      <c r="AW83" s="85"/>
      <c r="AX83" s="85"/>
      <c r="AY83" s="85"/>
      <c r="XET83" s="80"/>
      <c r="XEU83" s="80"/>
    </row>
    <row r="84" spans="1:51 16374:16375" ht="20.25" x14ac:dyDescent="0.3">
      <c r="A84" s="98"/>
      <c r="B84" s="98"/>
      <c r="C84" s="98"/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100"/>
      <c r="T84" s="98"/>
      <c r="U84" s="98"/>
      <c r="V84" s="98"/>
      <c r="W84" s="98"/>
      <c r="X84" s="98"/>
      <c r="Y84" s="98"/>
      <c r="Z84" s="98"/>
      <c r="AA84" s="98"/>
      <c r="AB84" s="98"/>
      <c r="AC84" s="98"/>
      <c r="AD84" s="98"/>
      <c r="AE84" s="98"/>
      <c r="AF84" s="98"/>
      <c r="AG84" s="98"/>
      <c r="AH84" s="98"/>
      <c r="AI84" s="98"/>
      <c r="AJ84" s="98"/>
      <c r="AK84" s="98"/>
      <c r="AL84" s="98"/>
      <c r="AM84" s="98"/>
      <c r="AN84" s="98"/>
      <c r="AO84" s="98"/>
      <c r="AP84" s="98"/>
      <c r="AQ84" s="98"/>
      <c r="AR84" s="98"/>
      <c r="AS84" s="98"/>
      <c r="AT84" s="98"/>
      <c r="AU84" s="98"/>
      <c r="AV84" s="98"/>
      <c r="AW84" s="98"/>
      <c r="AX84" s="98"/>
      <c r="AY84" s="98"/>
    </row>
    <row r="85" spans="1:51 16374:16375" ht="20.25" x14ac:dyDescent="0.3">
      <c r="A85" s="98"/>
      <c r="B85" s="98"/>
      <c r="C85" s="98"/>
      <c r="D85" s="98"/>
      <c r="E85" s="98"/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100"/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  <c r="AF85" s="98"/>
      <c r="AG85" s="98"/>
      <c r="AH85" s="98"/>
      <c r="AI85" s="98"/>
      <c r="AJ85" s="98"/>
      <c r="AK85" s="98"/>
      <c r="AL85" s="98"/>
      <c r="AM85" s="98"/>
      <c r="AN85" s="98"/>
      <c r="AO85" s="98"/>
      <c r="AP85" s="98"/>
      <c r="AQ85" s="98"/>
      <c r="AR85" s="98"/>
      <c r="AS85" s="98"/>
      <c r="AT85" s="98"/>
      <c r="AU85" s="98"/>
      <c r="AV85" s="98"/>
      <c r="AW85" s="98"/>
      <c r="AX85" s="98"/>
      <c r="AY85" s="98"/>
    </row>
    <row r="86" spans="1:51 16374:16375" ht="20.25" x14ac:dyDescent="0.3">
      <c r="A86" s="98"/>
      <c r="B86" s="98"/>
      <c r="C86" s="98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100"/>
      <c r="T86" s="98"/>
      <c r="U86" s="98"/>
      <c r="V86" s="98"/>
      <c r="W86" s="98"/>
      <c r="X86" s="98"/>
      <c r="Y86" s="98"/>
      <c r="Z86" s="98"/>
      <c r="AA86" s="98"/>
      <c r="AB86" s="98"/>
      <c r="AC86" s="98"/>
      <c r="AD86" s="98"/>
      <c r="AE86" s="98"/>
      <c r="AF86" s="98"/>
      <c r="AG86" s="98"/>
      <c r="AH86" s="98"/>
      <c r="AI86" s="98"/>
      <c r="AJ86" s="98"/>
      <c r="AK86" s="98"/>
      <c r="AL86" s="98"/>
      <c r="AM86" s="98"/>
      <c r="AN86" s="98"/>
      <c r="AO86" s="98"/>
      <c r="AP86" s="98"/>
      <c r="AQ86" s="98"/>
      <c r="AR86" s="98"/>
      <c r="AS86" s="98"/>
      <c r="AT86" s="98"/>
      <c r="AU86" s="98"/>
      <c r="AV86" s="98"/>
      <c r="AW86" s="98"/>
      <c r="AX86" s="98"/>
      <c r="AY86" s="98"/>
    </row>
    <row r="87" spans="1:51 16374:16375" ht="20.25" x14ac:dyDescent="0.3">
      <c r="A87" s="98"/>
      <c r="B87" s="98"/>
      <c r="C87" s="98"/>
      <c r="D87" s="98"/>
      <c r="E87" s="98"/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100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  <c r="AK87" s="98"/>
      <c r="AL87" s="98"/>
      <c r="AM87" s="98"/>
      <c r="AN87" s="98"/>
      <c r="AO87" s="98"/>
      <c r="AP87" s="98"/>
      <c r="AQ87" s="98"/>
      <c r="AR87" s="98"/>
      <c r="AS87" s="98"/>
      <c r="AT87" s="98"/>
      <c r="AU87" s="98"/>
      <c r="AV87" s="98"/>
      <c r="AW87" s="98"/>
      <c r="AX87" s="98"/>
      <c r="AY87" s="98"/>
    </row>
    <row r="88" spans="1:51 16374:16375" ht="20.25" x14ac:dyDescent="0.3">
      <c r="A88" s="98"/>
      <c r="B88" s="98"/>
      <c r="C88" s="98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100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  <c r="AK88" s="98"/>
      <c r="AL88" s="98"/>
      <c r="AM88" s="98"/>
      <c r="AN88" s="98"/>
      <c r="AO88" s="98"/>
      <c r="AP88" s="98"/>
      <c r="AQ88" s="98"/>
      <c r="AR88" s="98"/>
      <c r="AS88" s="98"/>
      <c r="AT88" s="98"/>
      <c r="AU88" s="98"/>
      <c r="AV88" s="98"/>
      <c r="AW88" s="98"/>
      <c r="AX88" s="98"/>
      <c r="AY88" s="98"/>
    </row>
    <row r="89" spans="1:51 16374:16375" ht="20.25" x14ac:dyDescent="0.3">
      <c r="A89" s="98"/>
      <c r="B89" s="98"/>
      <c r="C89" s="98"/>
      <c r="D89" s="98"/>
      <c r="E89" s="98"/>
      <c r="F89" s="98"/>
      <c r="G89" s="98"/>
      <c r="H89" s="98"/>
      <c r="I89" s="98"/>
      <c r="J89" s="98"/>
      <c r="K89" s="98"/>
      <c r="L89" s="98"/>
      <c r="M89" s="98"/>
      <c r="N89" s="98"/>
      <c r="O89" s="98"/>
      <c r="P89" s="98"/>
      <c r="Q89" s="98"/>
      <c r="R89" s="98"/>
      <c r="S89" s="100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  <c r="AK89" s="98"/>
      <c r="AL89" s="98"/>
      <c r="AM89" s="98"/>
      <c r="AN89" s="98"/>
      <c r="AO89" s="98"/>
      <c r="AP89" s="98"/>
      <c r="AQ89" s="98"/>
      <c r="AR89" s="98"/>
      <c r="AS89" s="98"/>
      <c r="AT89" s="98"/>
      <c r="AU89" s="98"/>
      <c r="AV89" s="98"/>
      <c r="AW89" s="98"/>
      <c r="AX89" s="98"/>
      <c r="AY89" s="98"/>
    </row>
    <row r="90" spans="1:51 16374:16375" ht="20.25" x14ac:dyDescent="0.3">
      <c r="A90" s="98"/>
      <c r="B90" s="98"/>
      <c r="C90" s="98"/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100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  <c r="AK90" s="98"/>
      <c r="AL90" s="98"/>
      <c r="AM90" s="98"/>
      <c r="AN90" s="98"/>
      <c r="AO90" s="98"/>
      <c r="AP90" s="98"/>
      <c r="AQ90" s="98"/>
      <c r="AR90" s="98"/>
      <c r="AS90" s="98"/>
      <c r="AT90" s="98"/>
      <c r="AU90" s="98"/>
      <c r="AV90" s="98"/>
      <c r="AW90" s="98"/>
      <c r="AX90" s="98"/>
      <c r="AY90" s="98"/>
    </row>
    <row r="91" spans="1:51 16374:16375" ht="20.25" x14ac:dyDescent="0.3">
      <c r="A91" s="98"/>
      <c r="B91" s="98"/>
      <c r="C91" s="98"/>
      <c r="D91" s="98"/>
      <c r="E91" s="98"/>
      <c r="F91" s="98"/>
      <c r="G91" s="98"/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100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  <c r="AK91" s="98"/>
      <c r="AL91" s="98"/>
      <c r="AM91" s="98"/>
      <c r="AN91" s="98"/>
      <c r="AO91" s="98"/>
      <c r="AP91" s="98"/>
      <c r="AQ91" s="98"/>
      <c r="AR91" s="98"/>
      <c r="AS91" s="98"/>
      <c r="AT91" s="98"/>
      <c r="AU91" s="98"/>
      <c r="AV91" s="98"/>
      <c r="AW91" s="98"/>
      <c r="AX91" s="98"/>
      <c r="AY91" s="98"/>
    </row>
    <row r="92" spans="1:51 16374:16375" ht="20.25" x14ac:dyDescent="0.3">
      <c r="A92" s="98"/>
      <c r="B92" s="98"/>
      <c r="C92" s="98"/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100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  <c r="AK92" s="98"/>
      <c r="AL92" s="98"/>
      <c r="AM92" s="98"/>
      <c r="AN92" s="98"/>
      <c r="AO92" s="98"/>
      <c r="AP92" s="98"/>
      <c r="AQ92" s="98"/>
      <c r="AR92" s="98"/>
      <c r="AS92" s="98"/>
      <c r="AT92" s="98"/>
      <c r="AU92" s="98"/>
      <c r="AV92" s="98"/>
      <c r="AW92" s="98"/>
      <c r="AX92" s="98"/>
      <c r="AY92" s="98"/>
    </row>
    <row r="93" spans="1:51 16374:16375" ht="20.25" x14ac:dyDescent="0.3">
      <c r="A93" s="98"/>
      <c r="B93" s="98"/>
      <c r="C93" s="98"/>
      <c r="D93" s="98"/>
      <c r="E93" s="98"/>
      <c r="F93" s="98"/>
      <c r="G93" s="98"/>
      <c r="H93" s="98"/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100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98"/>
      <c r="AM93" s="98"/>
      <c r="AN93" s="98"/>
      <c r="AO93" s="98"/>
      <c r="AP93" s="98"/>
      <c r="AQ93" s="98"/>
      <c r="AR93" s="98"/>
      <c r="AS93" s="98"/>
      <c r="AT93" s="98"/>
      <c r="AU93" s="98"/>
      <c r="AV93" s="98"/>
      <c r="AW93" s="98"/>
      <c r="AX93" s="98"/>
      <c r="AY93" s="98"/>
    </row>
    <row r="94" spans="1:51 16374:16375" ht="20.25" x14ac:dyDescent="0.3">
      <c r="A94" s="98"/>
      <c r="B94" s="98"/>
      <c r="C94" s="9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98"/>
      <c r="Q94" s="98"/>
      <c r="R94" s="98"/>
      <c r="S94" s="100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  <c r="AK94" s="98"/>
      <c r="AL94" s="98"/>
      <c r="AM94" s="98"/>
      <c r="AN94" s="98"/>
      <c r="AO94" s="98"/>
      <c r="AP94" s="98"/>
      <c r="AQ94" s="98"/>
      <c r="AR94" s="98"/>
      <c r="AS94" s="98"/>
      <c r="AT94" s="98"/>
      <c r="AU94" s="98"/>
      <c r="AV94" s="98"/>
      <c r="AW94" s="98"/>
      <c r="AX94" s="98"/>
      <c r="AY94" s="98"/>
    </row>
    <row r="95" spans="1:51 16374:16375" ht="20.25" x14ac:dyDescent="0.3">
      <c r="A95" s="98"/>
      <c r="B95" s="98"/>
      <c r="C95" s="98"/>
      <c r="D95" s="98"/>
      <c r="E95" s="98"/>
      <c r="F95" s="98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100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98"/>
      <c r="AL95" s="98"/>
      <c r="AM95" s="98"/>
      <c r="AN95" s="98"/>
      <c r="AO95" s="98"/>
      <c r="AP95" s="98"/>
      <c r="AQ95" s="98"/>
      <c r="AR95" s="98"/>
      <c r="AS95" s="98"/>
      <c r="AT95" s="98"/>
      <c r="AU95" s="98"/>
      <c r="AV95" s="98"/>
      <c r="AW95" s="98"/>
      <c r="AX95" s="98"/>
      <c r="AY95" s="98"/>
    </row>
    <row r="96" spans="1:51 16374:16375" ht="20.25" x14ac:dyDescent="0.3">
      <c r="A96" s="98"/>
      <c r="B96" s="98"/>
      <c r="C96" s="9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100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  <c r="AK96" s="98"/>
      <c r="AL96" s="98"/>
      <c r="AM96" s="98"/>
      <c r="AN96" s="98"/>
      <c r="AO96" s="98"/>
      <c r="AP96" s="98"/>
      <c r="AQ96" s="98"/>
      <c r="AR96" s="98"/>
      <c r="AS96" s="98"/>
      <c r="AT96" s="98"/>
      <c r="AU96" s="98"/>
      <c r="AV96" s="98"/>
      <c r="AW96" s="98"/>
      <c r="AX96" s="98"/>
      <c r="AY96" s="98"/>
    </row>
    <row r="97" spans="1:51" ht="20.25" x14ac:dyDescent="0.3">
      <c r="A97" s="98"/>
      <c r="B97" s="98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100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</row>
    <row r="98" spans="1:51" ht="20.25" x14ac:dyDescent="0.3">
      <c r="A98" s="98"/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100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</row>
    <row r="99" spans="1:51" ht="20.25" x14ac:dyDescent="0.3">
      <c r="A99" s="98"/>
      <c r="B99" s="98"/>
      <c r="C99" s="98"/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100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  <c r="AK99" s="98"/>
      <c r="AL99" s="98"/>
      <c r="AM99" s="98"/>
      <c r="AN99" s="98"/>
      <c r="AO99" s="98"/>
      <c r="AP99" s="98"/>
      <c r="AQ99" s="98"/>
      <c r="AR99" s="98"/>
      <c r="AS99" s="98"/>
      <c r="AT99" s="98"/>
      <c r="AU99" s="98"/>
      <c r="AV99" s="98"/>
      <c r="AW99" s="98"/>
      <c r="AX99" s="98"/>
      <c r="AY99" s="98"/>
    </row>
    <row r="100" spans="1:51" ht="20.25" x14ac:dyDescent="0.3">
      <c r="A100" s="98"/>
      <c r="B100" s="98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100"/>
      <c r="T100" s="98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98"/>
      <c r="AJ100" s="98"/>
      <c r="AK100" s="98"/>
      <c r="AL100" s="98"/>
      <c r="AM100" s="98"/>
      <c r="AN100" s="98"/>
      <c r="AO100" s="98"/>
      <c r="AP100" s="98"/>
      <c r="AQ100" s="98"/>
      <c r="AR100" s="98"/>
      <c r="AS100" s="98"/>
      <c r="AT100" s="98"/>
      <c r="AU100" s="98"/>
      <c r="AV100" s="98"/>
      <c r="AW100" s="98"/>
      <c r="AX100" s="98"/>
      <c r="AY100" s="98"/>
    </row>
    <row r="101" spans="1:51" ht="20.25" x14ac:dyDescent="0.3">
      <c r="A101" s="98"/>
      <c r="B101" s="98"/>
      <c r="C101" s="98"/>
      <c r="D101" s="98"/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100"/>
      <c r="T101" s="98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  <c r="AF101" s="98"/>
      <c r="AG101" s="98"/>
      <c r="AH101" s="98"/>
      <c r="AI101" s="98"/>
      <c r="AJ101" s="98"/>
      <c r="AK101" s="98"/>
      <c r="AL101" s="98"/>
      <c r="AM101" s="98"/>
      <c r="AN101" s="98"/>
      <c r="AO101" s="98"/>
      <c r="AP101" s="98"/>
      <c r="AQ101" s="98"/>
      <c r="AR101" s="98"/>
      <c r="AS101" s="98"/>
      <c r="AT101" s="98"/>
      <c r="AU101" s="98"/>
      <c r="AV101" s="98"/>
      <c r="AW101" s="98"/>
      <c r="AX101" s="98"/>
      <c r="AY101" s="98"/>
    </row>
    <row r="102" spans="1:51" ht="20.25" x14ac:dyDescent="0.3">
      <c r="S102" s="82"/>
    </row>
    <row r="103" spans="1:51" ht="20.25" x14ac:dyDescent="0.3">
      <c r="S103" s="82"/>
    </row>
    <row r="104" spans="1:51" ht="20.25" x14ac:dyDescent="0.3">
      <c r="S104" s="82"/>
    </row>
    <row r="105" spans="1:51" ht="20.25" x14ac:dyDescent="0.3">
      <c r="S105" s="82"/>
    </row>
    <row r="106" spans="1:51" ht="20.25" x14ac:dyDescent="0.3">
      <c r="S106" s="82"/>
    </row>
    <row r="107" spans="1:51" ht="20.25" x14ac:dyDescent="0.3">
      <c r="S107" s="82"/>
    </row>
    <row r="108" spans="1:51" ht="20.25" x14ac:dyDescent="0.3">
      <c r="S108" s="82"/>
    </row>
    <row r="109" spans="1:51" ht="20.25" x14ac:dyDescent="0.3">
      <c r="S109" s="82"/>
    </row>
    <row r="110" spans="1:51" ht="20.25" x14ac:dyDescent="0.3">
      <c r="S110" s="82"/>
    </row>
    <row r="111" spans="1:51" ht="20.25" x14ac:dyDescent="0.3">
      <c r="S111" s="82"/>
    </row>
    <row r="112" spans="1:51" ht="20.25" x14ac:dyDescent="0.3">
      <c r="S112" s="82"/>
    </row>
    <row r="113" spans="19:19" ht="20.25" x14ac:dyDescent="0.3">
      <c r="S113" s="82"/>
    </row>
    <row r="114" spans="19:19" ht="20.25" x14ac:dyDescent="0.3">
      <c r="S114" s="82"/>
    </row>
    <row r="115" spans="19:19" ht="20.25" x14ac:dyDescent="0.3">
      <c r="S115" s="82"/>
    </row>
    <row r="116" spans="19:19" ht="20.25" x14ac:dyDescent="0.3">
      <c r="S116" s="82"/>
    </row>
    <row r="117" spans="19:19" ht="20.25" x14ac:dyDescent="0.3">
      <c r="S117" s="82"/>
    </row>
    <row r="118" spans="19:19" ht="20.25" x14ac:dyDescent="0.3">
      <c r="S118" s="82"/>
    </row>
    <row r="119" spans="19:19" ht="20.25" x14ac:dyDescent="0.3">
      <c r="S119" s="82"/>
    </row>
    <row r="120" spans="19:19" ht="20.25" x14ac:dyDescent="0.3">
      <c r="S120" s="82"/>
    </row>
    <row r="121" spans="19:19" ht="20.25" x14ac:dyDescent="0.3">
      <c r="S121" s="82"/>
    </row>
    <row r="122" spans="19:19" ht="20.25" x14ac:dyDescent="0.3">
      <c r="S122" s="82"/>
    </row>
    <row r="123" spans="19:19" ht="20.25" x14ac:dyDescent="0.3">
      <c r="S123" s="82"/>
    </row>
    <row r="124" spans="19:19" ht="20.25" x14ac:dyDescent="0.3">
      <c r="S124" s="82"/>
    </row>
    <row r="125" spans="19:19" ht="20.25" x14ac:dyDescent="0.3">
      <c r="S125" s="82"/>
    </row>
    <row r="126" spans="19:19" ht="20.25" x14ac:dyDescent="0.3">
      <c r="S126" s="82"/>
    </row>
    <row r="127" spans="19:19" ht="20.25" x14ac:dyDescent="0.3">
      <c r="S127" s="82"/>
    </row>
    <row r="128" spans="19:19" ht="20.25" x14ac:dyDescent="0.3">
      <c r="S128" s="82"/>
    </row>
    <row r="129" spans="19:19" ht="20.25" x14ac:dyDescent="0.3">
      <c r="S129" s="82"/>
    </row>
    <row r="130" spans="19:19" ht="20.25" x14ac:dyDescent="0.3">
      <c r="S130" s="82"/>
    </row>
    <row r="131" spans="19:19" ht="20.25" x14ac:dyDescent="0.3">
      <c r="S131" s="82"/>
    </row>
    <row r="132" spans="19:19" ht="20.25" x14ac:dyDescent="0.3">
      <c r="S132" s="82"/>
    </row>
    <row r="133" spans="19:19" ht="20.25" x14ac:dyDescent="0.3">
      <c r="S133" s="82"/>
    </row>
    <row r="134" spans="19:19" ht="20.25" x14ac:dyDescent="0.3">
      <c r="S134" s="82"/>
    </row>
    <row r="135" spans="19:19" ht="20.25" x14ac:dyDescent="0.3">
      <c r="S135" s="82"/>
    </row>
    <row r="136" spans="19:19" ht="20.25" x14ac:dyDescent="0.3">
      <c r="S136" s="82"/>
    </row>
    <row r="137" spans="19:19" ht="20.25" x14ac:dyDescent="0.3">
      <c r="S137" s="82"/>
    </row>
    <row r="138" spans="19:19" ht="20.25" x14ac:dyDescent="0.3">
      <c r="S138" s="82"/>
    </row>
    <row r="139" spans="19:19" ht="20.25" x14ac:dyDescent="0.3">
      <c r="S139" s="82"/>
    </row>
    <row r="140" spans="19:19" ht="20.25" x14ac:dyDescent="0.3">
      <c r="S140" s="82"/>
    </row>
    <row r="141" spans="19:19" ht="20.25" x14ac:dyDescent="0.3">
      <c r="S141" s="82"/>
    </row>
    <row r="142" spans="19:19" ht="20.25" x14ac:dyDescent="0.3">
      <c r="S142" s="82"/>
    </row>
    <row r="143" spans="19:19" ht="20.25" x14ac:dyDescent="0.3">
      <c r="S143" s="82"/>
    </row>
    <row r="144" spans="19:19" ht="20.25" x14ac:dyDescent="0.3">
      <c r="S144" s="82"/>
    </row>
    <row r="145" spans="19:19" ht="20.25" x14ac:dyDescent="0.3">
      <c r="S145" s="82"/>
    </row>
    <row r="146" spans="19:19" ht="20.25" x14ac:dyDescent="0.3">
      <c r="S146" s="82"/>
    </row>
    <row r="147" spans="19:19" ht="20.25" x14ac:dyDescent="0.3">
      <c r="S147" s="82"/>
    </row>
    <row r="148" spans="19:19" ht="20.25" x14ac:dyDescent="0.3">
      <c r="S148" s="82"/>
    </row>
    <row r="149" spans="19:19" ht="20.25" x14ac:dyDescent="0.3">
      <c r="S149" s="82"/>
    </row>
    <row r="150" spans="19:19" ht="20.25" x14ac:dyDescent="0.3">
      <c r="S150" s="82"/>
    </row>
    <row r="151" spans="19:19" ht="20.25" x14ac:dyDescent="0.3">
      <c r="S151" s="82"/>
    </row>
    <row r="152" spans="19:19" ht="20.25" x14ac:dyDescent="0.3">
      <c r="S152" s="82"/>
    </row>
    <row r="153" spans="19:19" ht="20.25" x14ac:dyDescent="0.3">
      <c r="S153" s="82"/>
    </row>
    <row r="154" spans="19:19" ht="20.25" x14ac:dyDescent="0.3">
      <c r="S154" s="82"/>
    </row>
    <row r="155" spans="19:19" ht="20.25" x14ac:dyDescent="0.3">
      <c r="S155" s="82"/>
    </row>
    <row r="156" spans="19:19" ht="20.25" x14ac:dyDescent="0.3">
      <c r="S156" s="82"/>
    </row>
    <row r="157" spans="19:19" ht="20.25" x14ac:dyDescent="0.3">
      <c r="S157" s="82"/>
    </row>
    <row r="158" spans="19:19" ht="20.25" x14ac:dyDescent="0.3">
      <c r="S158" s="82"/>
    </row>
    <row r="159" spans="19:19" ht="20.25" x14ac:dyDescent="0.3">
      <c r="S159" s="82"/>
    </row>
    <row r="160" spans="19:19" ht="20.25" x14ac:dyDescent="0.3">
      <c r="S160" s="82"/>
    </row>
    <row r="161" spans="19:19" ht="20.25" x14ac:dyDescent="0.3">
      <c r="S161" s="82"/>
    </row>
    <row r="162" spans="19:19" ht="20.25" x14ac:dyDescent="0.3">
      <c r="S162" s="82"/>
    </row>
  </sheetData>
  <mergeCells count="270">
    <mergeCell ref="K26:L26"/>
    <mergeCell ref="P25:Q25"/>
    <mergeCell ref="P16:Q16"/>
    <mergeCell ref="P7:Q7"/>
    <mergeCell ref="M15:N15"/>
    <mergeCell ref="K8:L8"/>
    <mergeCell ref="S25:T25"/>
    <mergeCell ref="S20:T20"/>
    <mergeCell ref="S16:T16"/>
    <mergeCell ref="S11:T11"/>
    <mergeCell ref="AA26:AB26"/>
    <mergeCell ref="AA8:AB8"/>
    <mergeCell ref="Y15:Z15"/>
    <mergeCell ref="V34:W34"/>
    <mergeCell ref="V25:W25"/>
    <mergeCell ref="V16:W16"/>
    <mergeCell ref="V7:W7"/>
    <mergeCell ref="P34:Q34"/>
    <mergeCell ref="M33:N33"/>
    <mergeCell ref="S7:T7"/>
    <mergeCell ref="AJ7:AK7"/>
    <mergeCell ref="AH7:AI7"/>
    <mergeCell ref="AF7:AG7"/>
    <mergeCell ref="AD7:AE7"/>
    <mergeCell ref="B6:C6"/>
    <mergeCell ref="D6:E6"/>
    <mergeCell ref="F6:G6"/>
    <mergeCell ref="H6:I6"/>
    <mergeCell ref="K6:L6"/>
    <mergeCell ref="M6:N6"/>
    <mergeCell ref="H7:I7"/>
    <mergeCell ref="F7:G7"/>
    <mergeCell ref="D7:E7"/>
    <mergeCell ref="B7:C7"/>
    <mergeCell ref="P6:Q6"/>
    <mergeCell ref="V6:W6"/>
    <mergeCell ref="Y6:Z6"/>
    <mergeCell ref="AA6:AB6"/>
    <mergeCell ref="AD6:AE6"/>
    <mergeCell ref="B3:AJ3"/>
    <mergeCell ref="B5:I5"/>
    <mergeCell ref="K5:N5"/>
    <mergeCell ref="P5:Q5"/>
    <mergeCell ref="V5:W5"/>
    <mergeCell ref="Y5:AB5"/>
    <mergeCell ref="AD5:AK5"/>
    <mergeCell ref="S6:T6"/>
    <mergeCell ref="S5:T5"/>
    <mergeCell ref="AF6:AG6"/>
    <mergeCell ref="AH6:AI6"/>
    <mergeCell ref="AJ6:AK6"/>
    <mergeCell ref="K9:K11"/>
    <mergeCell ref="L9:L11"/>
    <mergeCell ref="AA9:AA11"/>
    <mergeCell ref="AB9:AB11"/>
    <mergeCell ref="P12:P13"/>
    <mergeCell ref="Q12:Q13"/>
    <mergeCell ref="V12:V13"/>
    <mergeCell ref="W12:W13"/>
    <mergeCell ref="Y13:Y14"/>
    <mergeCell ref="Z13:Z14"/>
    <mergeCell ref="P8:P9"/>
    <mergeCell ref="Q8:Q9"/>
    <mergeCell ref="V8:V9"/>
    <mergeCell ref="W8:W9"/>
    <mergeCell ref="AK13:AK17"/>
    <mergeCell ref="H16:H17"/>
    <mergeCell ref="I16:I17"/>
    <mergeCell ref="M16:M17"/>
    <mergeCell ref="N16:N17"/>
    <mergeCell ref="Y16:Y17"/>
    <mergeCell ref="Z16:Z17"/>
    <mergeCell ref="B13:B17"/>
    <mergeCell ref="C13:C17"/>
    <mergeCell ref="F13:F14"/>
    <mergeCell ref="G13:G14"/>
    <mergeCell ref="M13:M14"/>
    <mergeCell ref="N13:N14"/>
    <mergeCell ref="AD16:AD17"/>
    <mergeCell ref="AE16:AE17"/>
    <mergeCell ref="P17:P18"/>
    <mergeCell ref="Q17:Q18"/>
    <mergeCell ref="V17:V18"/>
    <mergeCell ref="W17:W18"/>
    <mergeCell ref="AF13:AF14"/>
    <mergeCell ref="AG13:AG14"/>
    <mergeCell ref="AJ13:AJ17"/>
    <mergeCell ref="AH19:AH22"/>
    <mergeCell ref="AI19:AI22"/>
    <mergeCell ref="P21:P22"/>
    <mergeCell ref="Q21:Q22"/>
    <mergeCell ref="V21:V22"/>
    <mergeCell ref="W21:W22"/>
    <mergeCell ref="D19:D22"/>
    <mergeCell ref="E19:E22"/>
    <mergeCell ref="K19:K21"/>
    <mergeCell ref="L19:L21"/>
    <mergeCell ref="AA19:AA21"/>
    <mergeCell ref="AB19:AB21"/>
    <mergeCell ref="B31:B35"/>
    <mergeCell ref="C31:C35"/>
    <mergeCell ref="F31:F32"/>
    <mergeCell ref="G31:G32"/>
    <mergeCell ref="M31:M32"/>
    <mergeCell ref="N31:N32"/>
    <mergeCell ref="AH26:AH29"/>
    <mergeCell ref="AI26:AI29"/>
    <mergeCell ref="K27:K29"/>
    <mergeCell ref="L27:L29"/>
    <mergeCell ref="AA27:AA29"/>
    <mergeCell ref="AB27:AB29"/>
    <mergeCell ref="D26:D29"/>
    <mergeCell ref="E26:E29"/>
    <mergeCell ref="P26:P27"/>
    <mergeCell ref="Q26:Q27"/>
    <mergeCell ref="V26:V27"/>
    <mergeCell ref="W26:W27"/>
    <mergeCell ref="S34:T34"/>
    <mergeCell ref="S29:T29"/>
    <mergeCell ref="Y31:Y32"/>
    <mergeCell ref="Z31:Z32"/>
    <mergeCell ref="AF31:AF32"/>
    <mergeCell ref="AG31:AG32"/>
    <mergeCell ref="AJ31:AJ35"/>
    <mergeCell ref="AK31:AK35"/>
    <mergeCell ref="AD34:AD35"/>
    <mergeCell ref="AE34:AE35"/>
    <mergeCell ref="P30:P31"/>
    <mergeCell ref="Q30:Q31"/>
    <mergeCell ref="V30:V31"/>
    <mergeCell ref="W30:W31"/>
    <mergeCell ref="K37:K39"/>
    <mergeCell ref="L37:L39"/>
    <mergeCell ref="AA37:AA39"/>
    <mergeCell ref="AB37:AB39"/>
    <mergeCell ref="P39:P40"/>
    <mergeCell ref="Q39:Q40"/>
    <mergeCell ref="V39:V40"/>
    <mergeCell ref="W39:W40"/>
    <mergeCell ref="S38:T38"/>
    <mergeCell ref="Y33:Z33"/>
    <mergeCell ref="H34:H35"/>
    <mergeCell ref="I34:I35"/>
    <mergeCell ref="M34:M35"/>
    <mergeCell ref="N34:N35"/>
    <mergeCell ref="Y34:Y35"/>
    <mergeCell ref="Z34:Z35"/>
    <mergeCell ref="P35:P36"/>
    <mergeCell ref="Q35:Q36"/>
    <mergeCell ref="V35:V36"/>
    <mergeCell ref="W35:W36"/>
    <mergeCell ref="B44:AJ44"/>
    <mergeCell ref="B46:I46"/>
    <mergeCell ref="K46:N46"/>
    <mergeCell ref="P46:Q46"/>
    <mergeCell ref="S46:T46"/>
    <mergeCell ref="V46:W46"/>
    <mergeCell ref="Y46:AB46"/>
    <mergeCell ref="AD46:AK46"/>
    <mergeCell ref="AF47:AG47"/>
    <mergeCell ref="AH47:AI47"/>
    <mergeCell ref="AJ47:AK47"/>
    <mergeCell ref="AD47:AE47"/>
    <mergeCell ref="P47:Q47"/>
    <mergeCell ref="S47:T47"/>
    <mergeCell ref="V47:W47"/>
    <mergeCell ref="Y47:Z47"/>
    <mergeCell ref="AA47:AB47"/>
    <mergeCell ref="B47:C47"/>
    <mergeCell ref="D47:E47"/>
    <mergeCell ref="F47:G47"/>
    <mergeCell ref="H47:I47"/>
    <mergeCell ref="K47:L47"/>
    <mergeCell ref="M47:N47"/>
    <mergeCell ref="K50:K52"/>
    <mergeCell ref="L50:L52"/>
    <mergeCell ref="AA50:AA52"/>
    <mergeCell ref="AB50:AB52"/>
    <mergeCell ref="P53:P54"/>
    <mergeCell ref="Q53:Q54"/>
    <mergeCell ref="V53:V54"/>
    <mergeCell ref="W53:W54"/>
    <mergeCell ref="Y54:Y55"/>
    <mergeCell ref="Z54:Z55"/>
    <mergeCell ref="P49:P50"/>
    <mergeCell ref="Q49:Q50"/>
    <mergeCell ref="V49:V50"/>
    <mergeCell ref="W49:W50"/>
    <mergeCell ref="AK54:AK58"/>
    <mergeCell ref="H57:H58"/>
    <mergeCell ref="I57:I58"/>
    <mergeCell ref="M57:M58"/>
    <mergeCell ref="N57:N58"/>
    <mergeCell ref="Y57:Y58"/>
    <mergeCell ref="Z57:Z58"/>
    <mergeCell ref="B54:B58"/>
    <mergeCell ref="C54:C58"/>
    <mergeCell ref="F54:F55"/>
    <mergeCell ref="G54:G55"/>
    <mergeCell ref="M54:M55"/>
    <mergeCell ref="N54:N55"/>
    <mergeCell ref="AD57:AD58"/>
    <mergeCell ref="AE57:AE58"/>
    <mergeCell ref="P58:P59"/>
    <mergeCell ref="Q58:Q59"/>
    <mergeCell ref="V58:V59"/>
    <mergeCell ref="W58:W59"/>
    <mergeCell ref="AF54:AF55"/>
    <mergeCell ref="AG54:AG55"/>
    <mergeCell ref="AJ54:AJ58"/>
    <mergeCell ref="AH60:AH63"/>
    <mergeCell ref="AI60:AI63"/>
    <mergeCell ref="P62:P63"/>
    <mergeCell ref="Q62:Q63"/>
    <mergeCell ref="V62:V63"/>
    <mergeCell ref="W62:W63"/>
    <mergeCell ref="D60:D63"/>
    <mergeCell ref="E60:E63"/>
    <mergeCell ref="K60:K62"/>
    <mergeCell ref="L60:L62"/>
    <mergeCell ref="AA60:AA62"/>
    <mergeCell ref="AB60:AB62"/>
    <mergeCell ref="B72:B76"/>
    <mergeCell ref="C72:C76"/>
    <mergeCell ref="F72:F73"/>
    <mergeCell ref="G72:G73"/>
    <mergeCell ref="M72:M73"/>
    <mergeCell ref="N72:N73"/>
    <mergeCell ref="AH67:AH70"/>
    <mergeCell ref="AI67:AI70"/>
    <mergeCell ref="K68:K70"/>
    <mergeCell ref="L68:L70"/>
    <mergeCell ref="AA68:AA70"/>
    <mergeCell ref="AB68:AB70"/>
    <mergeCell ref="D67:D70"/>
    <mergeCell ref="E67:E70"/>
    <mergeCell ref="P67:P68"/>
    <mergeCell ref="Q67:Q68"/>
    <mergeCell ref="V67:V68"/>
    <mergeCell ref="W67:W68"/>
    <mergeCell ref="Y72:Y73"/>
    <mergeCell ref="Z72:Z73"/>
    <mergeCell ref="AF72:AF73"/>
    <mergeCell ref="AG72:AG73"/>
    <mergeCell ref="H75:H76"/>
    <mergeCell ref="I75:I76"/>
    <mergeCell ref="AJ72:AJ76"/>
    <mergeCell ref="AK72:AK76"/>
    <mergeCell ref="AD75:AD76"/>
    <mergeCell ref="AE75:AE76"/>
    <mergeCell ref="P71:P72"/>
    <mergeCell ref="Q71:Q72"/>
    <mergeCell ref="V71:V72"/>
    <mergeCell ref="W71:W72"/>
    <mergeCell ref="K78:K80"/>
    <mergeCell ref="L78:L80"/>
    <mergeCell ref="AA78:AA80"/>
    <mergeCell ref="AB78:AB80"/>
    <mergeCell ref="P80:P81"/>
    <mergeCell ref="Q80:Q81"/>
    <mergeCell ref="V80:V81"/>
    <mergeCell ref="W80:W81"/>
    <mergeCell ref="M75:M76"/>
    <mergeCell ref="N75:N76"/>
    <mergeCell ref="Y75:Y76"/>
    <mergeCell ref="Z75:Z76"/>
    <mergeCell ref="P76:P77"/>
    <mergeCell ref="Q76:Q77"/>
    <mergeCell ref="V76:V77"/>
    <mergeCell ref="W76:W77"/>
  </mergeCells>
  <pageMargins left="0.78749999999999998" right="0.78749999999999998" top="1.0249999999999999" bottom="1.0249999999999999" header="0.78749999999999998" footer="0.78749999999999998"/>
  <pageSetup paperSize="8" scale="48" orientation="landscape" useFirstPageNumber="1" horizontalDpi="300" verticalDpi="300" r:id="rId1"/>
  <headerFooter>
    <oddHeader>&amp;C&amp;A</oddHeader>
    <oddFooter>&amp;CPage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Accueil</vt:lpstr>
      <vt:lpstr>Parametres</vt:lpstr>
      <vt:lpstr>NOTES</vt:lpstr>
      <vt:lpstr>TEMPLATE</vt:lpstr>
      <vt:lpstr>FEUILLE_DE_SCORE</vt:lpstr>
      <vt:lpstr>FEUILLE_DE_SCORE!Zone_d_impression</vt:lpstr>
      <vt:lpstr>HUITIEME!Zone_d_impression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Bureau</cp:lastModifiedBy>
  <cp:lastPrinted>2024-01-26T21:35:55Z</cp:lastPrinted>
  <dcterms:created xsi:type="dcterms:W3CDTF">2020-04-24T22:48:13Z</dcterms:created>
  <dcterms:modified xsi:type="dcterms:W3CDTF">2026-06-13T19:13:35Z</dcterms:modified>
</cp:coreProperties>
</file>