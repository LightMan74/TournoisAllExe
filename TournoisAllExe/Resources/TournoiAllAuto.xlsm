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A0E4C3F4-7F46-4E28-B449-F690C8585805}" xr6:coauthVersionLast="47" xr6:coauthVersionMax="47" xr10:uidLastSave="{00000000-0000-0000-0000-000000000000}"/>
  <bookViews>
    <workbookView xWindow="28695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state="hidden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E3" i="1" l="1"/>
  <c r="A38" i="1"/>
  <c r="A19" i="1" l="1"/>
</calcChain>
</file>

<file path=xl/sharedStrings.xml><?xml version="1.0" encoding="utf-8"?>
<sst xmlns="http://schemas.openxmlformats.org/spreadsheetml/2006/main" count="2534" uniqueCount="56">
  <si>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</si>
  <si>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</si>
  <si>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</si>
  <si>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</si>
  <si>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</si>
  <si>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</si>
  <si>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</si>
  <si>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</si>
  <si>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</si>
  <si>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</si>
  <si>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</si>
  <si>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</si>
  <si>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</si>
  <si>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</si>
  <si>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</si>
  <si>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</si>
  <si>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</si>
  <si>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</si>
  <si>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</si>
  <si>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</si>
  <si>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</si>
  <si>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</si>
  <si>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</si>
  <si>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</si>
  <si>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</si>
  <si>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</si>
  <si>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</si>
  <si>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</si>
  <si>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</si>
  <si>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</si>
  <si>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</si>
  <si>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</si>
  <si>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</si>
  <si>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</si>
  <si>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</si>
  <si>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</si>
  <si>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</si>
  <si>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</si>
  <si>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</si>
  <si>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</si>
  <si>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</si>
  <si>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</si>
  <si>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</si>
  <si>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</si>
  <si>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</si>
  <si>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</si>
  <si>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</si>
  <si>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</si>
  <si>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</si>
  <si>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</si>
  <si>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</si>
  <si>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</si>
  <si>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Version 3.01</t>
  </si>
  <si>
    <t>00:08</t>
  </si>
  <si>
    <t>09:00</t>
  </si>
  <si>
    <t>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</si>
</sst>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0" t="s">
        <v>13</v>
      </c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1" ht="15" customHeight="1" x14ac:dyDescent="0.25">
      <c r="A2" s="63"/>
      <c r="B2" s="64"/>
      <c r="C2" s="64"/>
      <c r="D2" s="64"/>
      <c r="E2" s="64"/>
      <c r="F2" s="64"/>
      <c r="G2" s="64"/>
      <c r="H2" s="64"/>
      <c r="I2" s="64"/>
      <c r="J2" s="64"/>
      <c r="K2" s="65"/>
    </row>
    <row r="3" spans="1:11" ht="15" customHeight="1" x14ac:dyDescent="0.25">
      <c r="A3" s="63"/>
      <c r="B3" s="64"/>
      <c r="C3" s="64"/>
      <c r="D3" s="64"/>
      <c r="E3" s="64"/>
      <c r="F3" s="64"/>
      <c r="G3" s="64"/>
      <c r="H3" s="64"/>
      <c r="I3" s="64"/>
      <c r="J3" s="64"/>
      <c r="K3" s="65"/>
    </row>
    <row r="4" spans="1:11" ht="15" customHeigh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5"/>
    </row>
    <row r="5" spans="1:11" ht="15" customHeight="1" x14ac:dyDescent="0.25">
      <c r="A5" s="63"/>
      <c r="B5" s="64"/>
      <c r="C5" s="64"/>
      <c r="D5" s="64"/>
      <c r="E5" s="64"/>
      <c r="F5" s="64"/>
      <c r="G5" s="64"/>
      <c r="H5" s="64"/>
      <c r="I5" s="64"/>
      <c r="J5" s="64"/>
      <c r="K5" s="65"/>
    </row>
    <row r="6" spans="1:11" ht="15" customHeight="1" x14ac:dyDescent="0.25">
      <c r="A6" s="63"/>
      <c r="B6" s="64"/>
      <c r="C6" s="64"/>
      <c r="D6" s="64"/>
      <c r="E6" s="64"/>
      <c r="F6" s="64"/>
      <c r="G6" s="64"/>
      <c r="H6" s="64"/>
      <c r="I6" s="64"/>
      <c r="J6" s="64"/>
      <c r="K6" s="65"/>
    </row>
    <row r="7" spans="1:11" ht="15" customHeight="1" x14ac:dyDescent="0.25">
      <c r="A7" s="63"/>
      <c r="B7" s="64"/>
      <c r="C7" s="64"/>
      <c r="D7" s="64"/>
      <c r="E7" s="64"/>
      <c r="F7" s="64"/>
      <c r="G7" s="64"/>
      <c r="H7" s="64"/>
      <c r="I7" s="64"/>
      <c r="J7" s="64"/>
      <c r="K7" s="65"/>
    </row>
    <row r="8" spans="1:11" ht="15" customHeight="1" x14ac:dyDescent="0.25">
      <c r="A8" s="63"/>
      <c r="B8" s="64"/>
      <c r="C8" s="64"/>
      <c r="D8" s="64"/>
      <c r="E8" s="64"/>
      <c r="F8" s="64"/>
      <c r="G8" s="64"/>
      <c r="H8" s="64"/>
      <c r="I8" s="64"/>
      <c r="J8" s="64"/>
      <c r="K8" s="65"/>
    </row>
    <row r="9" spans="1:11" ht="15" customHeight="1" x14ac:dyDescent="0.25">
      <c r="A9" s="63"/>
      <c r="B9" s="64"/>
      <c r="C9" s="64"/>
      <c r="D9" s="64"/>
      <c r="E9" s="64"/>
      <c r="F9" s="64"/>
      <c r="G9" s="64"/>
      <c r="H9" s="64"/>
      <c r="I9" s="64"/>
      <c r="J9" s="64"/>
      <c r="K9" s="65"/>
    </row>
    <row r="10" spans="1:11" ht="15" customHeight="1" x14ac:dyDescent="0.25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5"/>
    </row>
    <row r="11" spans="1:11" ht="15" customHeight="1" x14ac:dyDescent="0.25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15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5"/>
    </row>
    <row r="13" spans="1:11" ht="15" customHeight="1" x14ac:dyDescent="0.25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5"/>
    </row>
    <row r="14" spans="1:11" ht="15" customHeight="1" x14ac:dyDescent="0.25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5"/>
    </row>
    <row r="15" spans="1:11" ht="15" customHeight="1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5"/>
    </row>
    <row r="16" spans="1:11" ht="15" customHeight="1" x14ac:dyDescent="0.25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5"/>
    </row>
    <row r="17" spans="1:11" ht="15" customHeight="1" x14ac:dyDescent="0.25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5"/>
    </row>
    <row r="18" spans="1:11" ht="15" customHeight="1" x14ac:dyDescent="0.25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5"/>
    </row>
    <row r="19" spans="1:11" ht="15" customHeight="1" x14ac:dyDescent="0.25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5"/>
    </row>
    <row r="20" spans="1:11" ht="15" customHeight="1" x14ac:dyDescent="0.25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5"/>
    </row>
    <row r="21" spans="1:11" ht="15" customHeight="1" x14ac:dyDescent="0.2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5"/>
    </row>
    <row r="22" spans="1:11" ht="15" customHeight="1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5"/>
    </row>
    <row r="23" spans="1:11" ht="15" customHeight="1" x14ac:dyDescent="0.25">
      <c r="A23" s="57" t="s">
        <v>15</v>
      </c>
      <c r="B23" s="58"/>
      <c r="C23" s="58"/>
      <c r="D23" s="58"/>
      <c r="E23" s="58"/>
      <c r="F23" s="58"/>
      <c r="G23" s="58"/>
      <c r="H23" s="58"/>
      <c r="I23" s="58"/>
      <c r="J23" s="58"/>
      <c r="K23" s="59"/>
    </row>
    <row r="24" spans="1:11" ht="1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9"/>
    </row>
    <row r="25" spans="1:11" ht="1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9"/>
    </row>
    <row r="26" spans="1:11" ht="1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9"/>
    </row>
    <row r="27" spans="1:11" ht="15" customHeight="1" x14ac:dyDescent="0.25">
      <c r="A27" s="42"/>
      <c r="B27" s="43"/>
      <c r="C27" s="43"/>
      <c r="D27" s="43"/>
      <c r="E27" s="43"/>
      <c r="F27" s="43"/>
      <c r="G27" s="43"/>
      <c r="H27" s="43"/>
      <c r="I27" s="43"/>
      <c r="J27" s="43"/>
      <c r="K27" s="44"/>
    </row>
    <row r="28" spans="1:11" ht="15" customHeight="1" thickBot="1" x14ac:dyDescent="0.3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7"/>
    </row>
    <row r="29" spans="1:11" ht="15" customHeight="1" x14ac:dyDescent="0.25">
      <c r="A29" s="48" t="s">
        <v>14</v>
      </c>
      <c r="B29" s="49"/>
      <c r="C29" s="49"/>
      <c r="D29" s="49"/>
      <c r="E29" s="49"/>
      <c r="F29" s="49"/>
      <c r="G29" s="49"/>
      <c r="H29" s="49"/>
      <c r="I29" s="49"/>
      <c r="J29" s="49"/>
      <c r="K29" s="50"/>
    </row>
    <row r="30" spans="1:11" ht="15" customHeight="1" x14ac:dyDescent="0.25">
      <c r="A30" s="51"/>
      <c r="B30" s="52"/>
      <c r="C30" s="52"/>
      <c r="D30" s="52"/>
      <c r="E30" s="52"/>
      <c r="F30" s="52"/>
      <c r="G30" s="52"/>
      <c r="H30" s="52"/>
      <c r="I30" s="52"/>
      <c r="J30" s="52"/>
      <c r="K30" s="53"/>
    </row>
    <row r="31" spans="1:11" ht="15" customHeight="1" thickBot="1" x14ac:dyDescent="0.3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6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tabSelected="1" workbookViewId="0">
      <selection activeCell="D33" sqref="D33"/>
    </sheetView>
  </sheetViews>
  <sheetFormatPr baseColWidth="10" defaultRowHeight="15" x14ac:dyDescent="0.25"/>
  <sheetData>
    <row r="1" spans="1:8" x14ac:dyDescent="0.25">
      <c r="A1" s="66" t="s">
        <v>36</v>
      </c>
      <c r="B1" s="66"/>
      <c r="C1" s="66"/>
      <c r="D1" s="66"/>
      <c r="E1" s="66"/>
      <c r="F1" s="66"/>
      <c r="G1" s="66"/>
      <c r="H1" s="66"/>
    </row>
    <row r="2" spans="1:8" x14ac:dyDescent="0.25">
      <c r="A2" s="66"/>
      <c r="B2" s="66"/>
      <c r="C2" s="66"/>
      <c r="D2" s="66"/>
      <c r="E2" s="66"/>
      <c r="F2" s="66"/>
      <c r="G2" s="66"/>
      <c r="H2" s="66"/>
    </row>
    <row r="3" spans="1:8" x14ac:dyDescent="0.25">
      <c r="A3" s="66"/>
      <c r="B3" s="66"/>
      <c r="C3" s="66"/>
      <c r="D3" s="66"/>
      <c r="E3" s="66"/>
      <c r="F3" s="66"/>
      <c r="G3" s="66"/>
      <c r="H3" s="66"/>
    </row>
    <row r="4" spans="1:8" x14ac:dyDescent="0.25">
      <c r="A4" s="67" t="str">
        <f>Parametres!F16</f>
        <v>Version 3.01</v>
      </c>
      <c r="B4" s="67"/>
      <c r="C4" s="67"/>
      <c r="D4" s="67"/>
      <c r="E4" s="67"/>
      <c r="F4" s="67"/>
      <c r="G4" s="67"/>
      <c r="H4" s="67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D9" sqref="D9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0"/>
      <c r="D1" s="24" t="s">
        <v>37</v>
      </c>
      <c r="E1" s="40" t="s">
        <v>38</v>
      </c>
      <c r="F1" s="3" t="s">
        <v>40</v>
      </c>
    </row>
    <row r="2" spans="1:27" ht="15.75" thickBot="1" x14ac:dyDescent="0.3">
      <c r="A2" s="7" t="s">
        <v>53</v>
      </c>
      <c r="C2" s="70"/>
      <c r="D2" s="28">
        <v>1</v>
      </c>
      <c r="E2" s="29" t="s">
        <v>6</v>
      </c>
      <c r="F2" s="23">
        <v>1</v>
      </c>
    </row>
    <row r="3" spans="1:27" ht="15.75" thickBot="1" x14ac:dyDescent="0.3">
      <c r="A3" s="8">
        <v>1.3888888888888889E-3</v>
      </c>
      <c r="C3" s="71"/>
      <c r="D3" s="4" t="s">
        <v>39</v>
      </c>
      <c r="E3" s="38" t="str">
        <f>"Nbre de Catégories : " &amp; B30</f>
        <v>Nbre de Catégories : 1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4</v>
      </c>
      <c r="E4" s="6"/>
    </row>
    <row r="5" spans="1:27" ht="15.75" thickBot="1" x14ac:dyDescent="0.3">
      <c r="A5" s="23">
        <f>ROUNDUP(SUM(D4:D29)/8,0)</f>
        <v>1</v>
      </c>
      <c r="B5" s="2">
        <v>2</v>
      </c>
      <c r="C5" s="26" t="str">
        <f t="shared" si="0"/>
        <v/>
      </c>
      <c r="D5" s="30"/>
      <c r="E5" s="6"/>
      <c r="AA5"/>
    </row>
    <row r="6" spans="1:27" ht="15.75" thickBot="1" x14ac:dyDescent="0.3">
      <c r="B6" s="2">
        <v>3</v>
      </c>
      <c r="C6" s="26" t="str">
        <f t="shared" si="0"/>
        <v/>
      </c>
      <c r="D6" s="30"/>
      <c r="E6" s="6"/>
      <c r="AA6"/>
    </row>
    <row r="7" spans="1:27" x14ac:dyDescent="0.25">
      <c r="A7" s="10" t="s">
        <v>44</v>
      </c>
      <c r="B7" s="2">
        <v>4</v>
      </c>
      <c r="C7" s="26" t="str">
        <f t="shared" si="0"/>
        <v/>
      </c>
      <c r="D7" s="30"/>
      <c r="E7" s="6"/>
      <c r="AA7"/>
    </row>
    <row r="8" spans="1:27" ht="15.75" thickBot="1" x14ac:dyDescent="0.3">
      <c r="A8" s="5">
        <f>ROUNDUP(SUM(D4:D29)/16,0)</f>
        <v>1</v>
      </c>
      <c r="B8" s="2">
        <v>5</v>
      </c>
      <c r="C8" s="26" t="str">
        <f t="shared" si="0"/>
        <v/>
      </c>
      <c r="D8" s="30"/>
      <c r="E8" s="6"/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AA10"/>
    </row>
    <row r="11" spans="1:27" x14ac:dyDescent="0.25">
      <c r="A11" s="3" t="s">
        <v>0</v>
      </c>
      <c r="B11" s="2">
        <v>8</v>
      </c>
      <c r="C11" s="26" t="str">
        <f t="shared" si="0"/>
        <v/>
      </c>
      <c r="D11" s="30"/>
      <c r="E11" s="6"/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/>
      </c>
      <c r="D12" s="30"/>
      <c r="E12" s="6"/>
      <c r="AA12"/>
    </row>
    <row r="13" spans="1:27" x14ac:dyDescent="0.25">
      <c r="A13" s="12" t="str">
        <f>A2</f>
        <v>00:08</v>
      </c>
      <c r="B13" s="2">
        <v>10</v>
      </c>
      <c r="C13" s="26" t="str">
        <f t="shared" si="0"/>
        <v/>
      </c>
      <c r="D13" s="30"/>
      <c r="E13" s="6"/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52</v>
      </c>
      <c r="AA16"/>
    </row>
    <row r="17" spans="1:27" x14ac:dyDescent="0.25">
      <c r="A17" s="37">
        <f>(counttour()/E2*(A2+A3)) + (ROUNDUP(IF(B31=TRUE,12*A5,12*A5*B30)/E2,0)*(A2+A3))</f>
        <v>3.125E-2</v>
      </c>
      <c r="B17" s="2">
        <v>14</v>
      </c>
      <c r="C17" s="26" t="str">
        <f t="shared" si="0"/>
        <v/>
      </c>
      <c r="D17" s="30"/>
      <c r="E17" s="6"/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68" t="s">
        <v>41</v>
      </c>
      <c r="AA18"/>
    </row>
    <row r="19" spans="1:27" x14ac:dyDescent="0.25">
      <c r="A19" s="12">
        <f>A15+A17+A21</f>
        <v>0.42708333333333337</v>
      </c>
      <c r="B19" s="2">
        <v>16</v>
      </c>
      <c r="C19" s="26" t="str">
        <f t="shared" si="0"/>
        <v/>
      </c>
      <c r="D19" s="30"/>
      <c r="E19" s="6"/>
      <c r="F19" s="68"/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68"/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68"/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69" t="s">
        <v>14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69"/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69"/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69"/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69"/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69" t="s">
        <v>51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69"/>
    </row>
    <row r="31" spans="1:27" x14ac:dyDescent="0.25">
      <c r="A31" s="11" t="s">
        <v>45</v>
      </c>
      <c r="B31" s="36" t="b">
        <v>0</v>
      </c>
      <c r="D31" s="11" t="s">
        <v>33</v>
      </c>
      <c r="F31" s="69"/>
    </row>
    <row r="32" spans="1:27" x14ac:dyDescent="0.25">
      <c r="A32" s="41" t="s">
        <v>54</v>
      </c>
      <c r="B32" s="36" t="b">
        <v>1</v>
      </c>
      <c r="D32" s="29">
        <v>0</v>
      </c>
    </row>
    <row r="33" spans="1:6" x14ac:dyDescent="0.25">
      <c r="A33" s="11" t="s">
        <v>47</v>
      </c>
      <c r="B33" s="36" t="b">
        <v>0</v>
      </c>
      <c r="D33" s="11" t="s">
        <v>34</v>
      </c>
      <c r="F33" s="32"/>
    </row>
    <row r="34" spans="1:6" x14ac:dyDescent="0.25">
      <c r="A34" s="39">
        <f>(counttour()/E2*(A2+A3))+A32</f>
        <v>0.38541666666666669</v>
      </c>
      <c r="B34" s="36" t="b">
        <v>0</v>
      </c>
      <c r="D34" s="29">
        <v>0</v>
      </c>
    </row>
    <row r="35" spans="1:6" x14ac:dyDescent="0.25">
      <c r="A35" s="11" t="s">
        <v>48</v>
      </c>
      <c r="D35" s="11" t="s">
        <v>50</v>
      </c>
    </row>
    <row r="36" spans="1:6" x14ac:dyDescent="0.25">
      <c r="A36" s="41" t="s">
        <v>55</v>
      </c>
      <c r="D36" s="29" t="b">
        <v>0</v>
      </c>
      <c r="E36" s="2" t="s">
        <v>35</v>
      </c>
    </row>
    <row r="37" spans="1:6" x14ac:dyDescent="0.25">
      <c r="A37" s="11" t="s">
        <v>32</v>
      </c>
    </row>
    <row r="38" spans="1:6" x14ac:dyDescent="0.25">
      <c r="A38" s="39">
        <f>A36+(ROUNDUP(IF(B31=TRUE,12*A5,12*A5*B30)/E2,0)*(A2+A3))</f>
        <v>2.0833333333333336E-2</v>
      </c>
    </row>
    <row r="39" spans="1:6" ht="16.5" thickBot="1" x14ac:dyDescent="0.3">
      <c r="A39" s="14"/>
    </row>
    <row r="40" spans="1:6" x14ac:dyDescent="0.25">
      <c r="A40" s="3" t="s">
        <v>49</v>
      </c>
    </row>
    <row r="41" spans="1:6" x14ac:dyDescent="0.25">
      <c r="A41" s="29" t="s">
        <v>6</v>
      </c>
    </row>
    <row r="42" spans="1:6" ht="15.75" x14ac:dyDescent="0.25">
      <c r="A42" s="14"/>
    </row>
    <row r="43" spans="1:6" ht="15.75" x14ac:dyDescent="0.25">
      <c r="A43" s="14"/>
    </row>
    <row r="44" spans="1:6" x14ac:dyDescent="0.25">
      <c r="A44" s="18"/>
    </row>
    <row r="45" spans="1:6" x14ac:dyDescent="0.25">
      <c r="A45" s="18"/>
    </row>
    <row r="46" spans="1:6" x14ac:dyDescent="0.25">
      <c r="A46" s="17"/>
    </row>
    <row r="47" spans="1:6" x14ac:dyDescent="0.25">
      <c r="A47" s="13"/>
    </row>
    <row r="48" spans="1:6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"/>
  <sheetViews>
    <sheetView workbookViewId="0">
      <selection activeCell="D32" sqref="D32:D33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2023-03-04T16:27:59Z</dcterms:modified>
</cp:coreProperties>
</file>