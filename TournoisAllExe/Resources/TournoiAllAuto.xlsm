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359BB4D2-1948-4B90-B190-B5E59EECAA2C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E34" i="1"/>
  <c r="B30" i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A38" i="1" l="1"/>
  <c r="A19" i="1"/>
</calcChain>
</file>

<file path=xl/sharedStrings.xml><?xml version="1.0" encoding="utf-8"?>
<sst xmlns="http://schemas.openxmlformats.org/spreadsheetml/2006/main" count="2706" uniqueCount="77">
  <si>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</si>
  <si>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</si>
  <si>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</si>
  <si>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</si>
  <si>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</si>
  <si>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</si>
  <si>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</si>
  <si>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</si>
  <si>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</si>
  <si>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</si>
  <si>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</si>
  <si>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</si>
  <si>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</si>
  <si>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</si>
  <si>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</si>
  <si>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</si>
  <si>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</si>
  <si>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</si>
  <si>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</si>
  <si>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</si>
  <si>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</si>
  <si>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</si>
  <si>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</si>
  <si>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</si>
  <si>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</si>
  <si>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</si>
  <si>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</si>
  <si>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</si>
  <si>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</si>
  <si>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</si>
  <si>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</si>
  <si>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</si>
  <si>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</si>
  <si>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</si>
  <si>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</si>
  <si>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</si>
  <si>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</si>
  <si>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</si>
  <si>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</si>
  <si>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</si>
  <si>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</si>
  <si>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</si>
  <si>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</si>
  <si>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</si>
  <si>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</si>
  <si>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</si>
  <si>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</si>
  <si>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</si>
  <si>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</si>
  <si>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</si>
  <si>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</si>
  <si>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</si>
  <si>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1A</t>
  </si>
  <si>
    <t>2A</t>
  </si>
  <si>
    <t>3A</t>
  </si>
  <si>
    <t>4A</t>
  </si>
  <si>
    <t>5A</t>
  </si>
  <si>
    <t>6A</t>
  </si>
  <si>
    <t>7A</t>
  </si>
  <si>
    <t>NOTICE POUR L'HEURE
A DROITE DE L'HEURE DANS LA CELLULE
VIDE --&gt; MISE A L'HEURE AUTOMATIQUE DU MATCH
0 --&gt; HEURE ACTUEL
1 --&gt; LA CELLULE N'EST PAS MODIFIER
2 --&gt; HEURE DE DEPART REGLER DANS LES PARAMETRE</t>
  </si>
  <si>
    <t>211, 211, 211</t>
  </si>
  <si>
    <t>0, 204, 204</t>
  </si>
  <si>
    <t>0, 0, 0</t>
  </si>
  <si>
    <t>0, 204, 0</t>
  </si>
  <si>
    <t>255, 153, 0</t>
  </si>
  <si>
    <t>204, 204, 255</t>
  </si>
  <si>
    <t>00:10</t>
  </si>
  <si>
    <t>Arrondie.Sup(Nbre Match + / Nbre de Terrain)</t>
  </si>
  <si>
    <t>8A</t>
  </si>
  <si>
    <t>Version 3.10</t>
  </si>
  <si>
    <t>7B</t>
  </si>
  <si>
    <t>1B</t>
  </si>
  <si>
    <t>2B</t>
  </si>
  <si>
    <t>3B</t>
  </si>
  <si>
    <t>4B</t>
  </si>
  <si>
    <t>5B</t>
  </si>
  <si>
    <t>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</si>
</sst>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1" t="s">
        <v>13</v>
      </c>
      <c r="B1" s="62"/>
      <c r="C1" s="62"/>
      <c r="D1" s="62"/>
      <c r="E1" s="62"/>
      <c r="F1" s="62"/>
      <c r="G1" s="62"/>
      <c r="H1" s="62"/>
      <c r="I1" s="62"/>
      <c r="J1" s="62"/>
      <c r="K1" s="63"/>
    </row>
    <row r="2" spans="1:11" ht="15" customHeight="1" x14ac:dyDescent="0.25">
      <c r="A2" s="64"/>
      <c r="B2" s="65"/>
      <c r="C2" s="65"/>
      <c r="D2" s="65"/>
      <c r="E2" s="65"/>
      <c r="F2" s="65"/>
      <c r="G2" s="65"/>
      <c r="H2" s="65"/>
      <c r="I2" s="65"/>
      <c r="J2" s="65"/>
      <c r="K2" s="66"/>
    </row>
    <row r="3" spans="1:11" ht="15" customHeight="1" x14ac:dyDescent="0.25">
      <c r="A3" s="64"/>
      <c r="B3" s="65"/>
      <c r="C3" s="65"/>
      <c r="D3" s="65"/>
      <c r="E3" s="65"/>
      <c r="F3" s="65"/>
      <c r="G3" s="65"/>
      <c r="H3" s="65"/>
      <c r="I3" s="65"/>
      <c r="J3" s="65"/>
      <c r="K3" s="66"/>
    </row>
    <row r="4" spans="1:11" ht="15" customHeight="1" x14ac:dyDescent="0.25">
      <c r="A4" s="64"/>
      <c r="B4" s="65"/>
      <c r="C4" s="65"/>
      <c r="D4" s="65"/>
      <c r="E4" s="65"/>
      <c r="F4" s="65"/>
      <c r="G4" s="65"/>
      <c r="H4" s="65"/>
      <c r="I4" s="65"/>
      <c r="J4" s="65"/>
      <c r="K4" s="66"/>
    </row>
    <row r="5" spans="1:11" ht="15" customHeight="1" x14ac:dyDescent="0.25">
      <c r="A5" s="64"/>
      <c r="B5" s="65"/>
      <c r="C5" s="65"/>
      <c r="D5" s="65"/>
      <c r="E5" s="65"/>
      <c r="F5" s="65"/>
      <c r="G5" s="65"/>
      <c r="H5" s="65"/>
      <c r="I5" s="65"/>
      <c r="J5" s="65"/>
      <c r="K5" s="66"/>
    </row>
    <row r="6" spans="1:11" ht="15" customHeight="1" x14ac:dyDescent="0.25">
      <c r="A6" s="64"/>
      <c r="B6" s="65"/>
      <c r="C6" s="65"/>
      <c r="D6" s="65"/>
      <c r="E6" s="65"/>
      <c r="F6" s="65"/>
      <c r="G6" s="65"/>
      <c r="H6" s="65"/>
      <c r="I6" s="65"/>
      <c r="J6" s="65"/>
      <c r="K6" s="66"/>
    </row>
    <row r="7" spans="1:11" ht="15" customHeight="1" x14ac:dyDescent="0.25">
      <c r="A7" s="64"/>
      <c r="B7" s="65"/>
      <c r="C7" s="65"/>
      <c r="D7" s="65"/>
      <c r="E7" s="65"/>
      <c r="F7" s="65"/>
      <c r="G7" s="65"/>
      <c r="H7" s="65"/>
      <c r="I7" s="65"/>
      <c r="J7" s="65"/>
      <c r="K7" s="66"/>
    </row>
    <row r="8" spans="1:11" ht="15" customHeight="1" x14ac:dyDescent="0.25">
      <c r="A8" s="64"/>
      <c r="B8" s="65"/>
      <c r="C8" s="65"/>
      <c r="D8" s="65"/>
      <c r="E8" s="65"/>
      <c r="F8" s="65"/>
      <c r="G8" s="65"/>
      <c r="H8" s="65"/>
      <c r="I8" s="65"/>
      <c r="J8" s="65"/>
      <c r="K8" s="66"/>
    </row>
    <row r="9" spans="1:11" ht="15" customHeight="1" x14ac:dyDescent="0.25">
      <c r="A9" s="64"/>
      <c r="B9" s="65"/>
      <c r="C9" s="65"/>
      <c r="D9" s="65"/>
      <c r="E9" s="65"/>
      <c r="F9" s="65"/>
      <c r="G9" s="65"/>
      <c r="H9" s="65"/>
      <c r="I9" s="65"/>
      <c r="J9" s="65"/>
      <c r="K9" s="66"/>
    </row>
    <row r="10" spans="1:11" ht="15" customHeight="1" x14ac:dyDescent="0.25">
      <c r="A10" s="64"/>
      <c r="B10" s="65"/>
      <c r="C10" s="65"/>
      <c r="D10" s="65"/>
      <c r="E10" s="65"/>
      <c r="F10" s="65"/>
      <c r="G10" s="65"/>
      <c r="H10" s="65"/>
      <c r="I10" s="65"/>
      <c r="J10" s="65"/>
      <c r="K10" s="66"/>
    </row>
    <row r="11" spans="1:11" ht="15" customHeight="1" x14ac:dyDescent="0.25">
      <c r="A11" s="64"/>
      <c r="B11" s="65"/>
      <c r="C11" s="65"/>
      <c r="D11" s="65"/>
      <c r="E11" s="65"/>
      <c r="F11" s="65"/>
      <c r="G11" s="65"/>
      <c r="H11" s="65"/>
      <c r="I11" s="65"/>
      <c r="J11" s="65"/>
      <c r="K11" s="66"/>
    </row>
    <row r="12" spans="1:11" ht="15" customHeight="1" x14ac:dyDescent="0.25">
      <c r="A12" s="64"/>
      <c r="B12" s="65"/>
      <c r="C12" s="65"/>
      <c r="D12" s="65"/>
      <c r="E12" s="65"/>
      <c r="F12" s="65"/>
      <c r="G12" s="65"/>
      <c r="H12" s="65"/>
      <c r="I12" s="65"/>
      <c r="J12" s="65"/>
      <c r="K12" s="66"/>
    </row>
    <row r="13" spans="1:11" ht="15" customHeight="1" x14ac:dyDescent="0.25">
      <c r="A13" s="64"/>
      <c r="B13" s="65"/>
      <c r="C13" s="65"/>
      <c r="D13" s="65"/>
      <c r="E13" s="65"/>
      <c r="F13" s="65"/>
      <c r="G13" s="65"/>
      <c r="H13" s="65"/>
      <c r="I13" s="65"/>
      <c r="J13" s="65"/>
      <c r="K13" s="66"/>
    </row>
    <row r="14" spans="1:11" ht="15" customHeight="1" x14ac:dyDescent="0.25">
      <c r="A14" s="64"/>
      <c r="B14" s="65"/>
      <c r="C14" s="65"/>
      <c r="D14" s="65"/>
      <c r="E14" s="65"/>
      <c r="F14" s="65"/>
      <c r="G14" s="65"/>
      <c r="H14" s="65"/>
      <c r="I14" s="65"/>
      <c r="J14" s="65"/>
      <c r="K14" s="66"/>
    </row>
    <row r="15" spans="1:11" ht="15" customHeight="1" x14ac:dyDescent="0.25">
      <c r="A15" s="64"/>
      <c r="B15" s="65"/>
      <c r="C15" s="65"/>
      <c r="D15" s="65"/>
      <c r="E15" s="65"/>
      <c r="F15" s="65"/>
      <c r="G15" s="65"/>
      <c r="H15" s="65"/>
      <c r="I15" s="65"/>
      <c r="J15" s="65"/>
      <c r="K15" s="66"/>
    </row>
    <row r="16" spans="1:11" ht="15" customHeight="1" x14ac:dyDescent="0.25">
      <c r="A16" s="64"/>
      <c r="B16" s="65"/>
      <c r="C16" s="65"/>
      <c r="D16" s="65"/>
      <c r="E16" s="65"/>
      <c r="F16" s="65"/>
      <c r="G16" s="65"/>
      <c r="H16" s="65"/>
      <c r="I16" s="65"/>
      <c r="J16" s="65"/>
      <c r="K16" s="66"/>
    </row>
    <row r="17" spans="1:11" ht="15" customHeight="1" x14ac:dyDescent="0.25">
      <c r="A17" s="64"/>
      <c r="B17" s="65"/>
      <c r="C17" s="65"/>
      <c r="D17" s="65"/>
      <c r="E17" s="65"/>
      <c r="F17" s="65"/>
      <c r="G17" s="65"/>
      <c r="H17" s="65"/>
      <c r="I17" s="65"/>
      <c r="J17" s="65"/>
      <c r="K17" s="66"/>
    </row>
    <row r="18" spans="1:11" ht="15" customHeight="1" x14ac:dyDescent="0.25">
      <c r="A18" s="64"/>
      <c r="B18" s="65"/>
      <c r="C18" s="65"/>
      <c r="D18" s="65"/>
      <c r="E18" s="65"/>
      <c r="F18" s="65"/>
      <c r="G18" s="65"/>
      <c r="H18" s="65"/>
      <c r="I18" s="65"/>
      <c r="J18" s="65"/>
      <c r="K18" s="66"/>
    </row>
    <row r="19" spans="1:11" ht="15" customHeight="1" x14ac:dyDescent="0.25">
      <c r="A19" s="64"/>
      <c r="B19" s="65"/>
      <c r="C19" s="65"/>
      <c r="D19" s="65"/>
      <c r="E19" s="65"/>
      <c r="F19" s="65"/>
      <c r="G19" s="65"/>
      <c r="H19" s="65"/>
      <c r="I19" s="65"/>
      <c r="J19" s="65"/>
      <c r="K19" s="66"/>
    </row>
    <row r="20" spans="1:11" ht="15" customHeight="1" x14ac:dyDescent="0.25">
      <c r="A20" s="64"/>
      <c r="B20" s="65"/>
      <c r="C20" s="65"/>
      <c r="D20" s="65"/>
      <c r="E20" s="65"/>
      <c r="F20" s="65"/>
      <c r="G20" s="65"/>
      <c r="H20" s="65"/>
      <c r="I20" s="65"/>
      <c r="J20" s="65"/>
      <c r="K20" s="66"/>
    </row>
    <row r="21" spans="1:11" ht="15" customHeight="1" x14ac:dyDescent="0.25">
      <c r="A21" s="64"/>
      <c r="B21" s="65"/>
      <c r="C21" s="65"/>
      <c r="D21" s="65"/>
      <c r="E21" s="65"/>
      <c r="F21" s="65"/>
      <c r="G21" s="65"/>
      <c r="H21" s="65"/>
      <c r="I21" s="65"/>
      <c r="J21" s="65"/>
      <c r="K21" s="66"/>
    </row>
    <row r="22" spans="1:11" ht="15" customHeight="1" x14ac:dyDescent="0.25">
      <c r="A22" s="64"/>
      <c r="B22" s="65"/>
      <c r="C22" s="65"/>
      <c r="D22" s="65"/>
      <c r="E22" s="65"/>
      <c r="F22" s="65"/>
      <c r="G22" s="65"/>
      <c r="H22" s="65"/>
      <c r="I22" s="65"/>
      <c r="J22" s="65"/>
      <c r="K22" s="66"/>
    </row>
    <row r="23" spans="1:11" ht="15" customHeight="1" x14ac:dyDescent="0.25">
      <c r="A23" s="58" t="s">
        <v>15</v>
      </c>
      <c r="B23" s="59"/>
      <c r="C23" s="59"/>
      <c r="D23" s="59"/>
      <c r="E23" s="59"/>
      <c r="F23" s="59"/>
      <c r="G23" s="59"/>
      <c r="H23" s="59"/>
      <c r="I23" s="59"/>
      <c r="J23" s="59"/>
      <c r="K23" s="60"/>
    </row>
    <row r="24" spans="1:11" ht="15" customHeight="1" x14ac:dyDescent="0.25">
      <c r="A24" s="58"/>
      <c r="B24" s="59"/>
      <c r="C24" s="59"/>
      <c r="D24" s="59"/>
      <c r="E24" s="59"/>
      <c r="F24" s="59"/>
      <c r="G24" s="59"/>
      <c r="H24" s="59"/>
      <c r="I24" s="59"/>
      <c r="J24" s="59"/>
      <c r="K24" s="60"/>
    </row>
    <row r="25" spans="1:11" ht="15" customHeight="1" x14ac:dyDescent="0.25">
      <c r="A25" s="58"/>
      <c r="B25" s="59"/>
      <c r="C25" s="59"/>
      <c r="D25" s="59"/>
      <c r="E25" s="59"/>
      <c r="F25" s="59"/>
      <c r="G25" s="59"/>
      <c r="H25" s="59"/>
      <c r="I25" s="59"/>
      <c r="J25" s="59"/>
      <c r="K25" s="60"/>
    </row>
    <row r="26" spans="1:11" ht="15" customHeight="1" x14ac:dyDescent="0.25">
      <c r="A26" s="58"/>
      <c r="B26" s="59"/>
      <c r="C26" s="59"/>
      <c r="D26" s="59"/>
      <c r="E26" s="59"/>
      <c r="F26" s="59"/>
      <c r="G26" s="59"/>
      <c r="H26" s="59"/>
      <c r="I26" s="59"/>
      <c r="J26" s="59"/>
      <c r="K26" s="60"/>
    </row>
    <row r="27" spans="1:11" ht="15" customHeight="1" x14ac:dyDescent="0.25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5"/>
    </row>
    <row r="28" spans="1:11" ht="15" customHeight="1" thickBot="1" x14ac:dyDescent="0.3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8"/>
    </row>
    <row r="29" spans="1:11" ht="15" customHeight="1" x14ac:dyDescent="0.25">
      <c r="A29" s="49" t="s">
        <v>14</v>
      </c>
      <c r="B29" s="50"/>
      <c r="C29" s="50"/>
      <c r="D29" s="50"/>
      <c r="E29" s="50"/>
      <c r="F29" s="50"/>
      <c r="G29" s="50"/>
      <c r="H29" s="50"/>
      <c r="I29" s="50"/>
      <c r="J29" s="50"/>
      <c r="K29" s="51"/>
    </row>
    <row r="30" spans="1:11" ht="15" customHeight="1" x14ac:dyDescent="0.25">
      <c r="A30" s="52"/>
      <c r="B30" s="53"/>
      <c r="C30" s="53"/>
      <c r="D30" s="53"/>
      <c r="E30" s="53"/>
      <c r="F30" s="53"/>
      <c r="G30" s="53"/>
      <c r="H30" s="53"/>
      <c r="I30" s="53"/>
      <c r="J30" s="53"/>
      <c r="K30" s="54"/>
    </row>
    <row r="31" spans="1:11" ht="15" customHeight="1" thickBot="1" x14ac:dyDescent="0.3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7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5"/>
  <sheetViews>
    <sheetView tabSelected="1" workbookViewId="0">
      <selection activeCell="H32" sqref="H32"/>
    </sheetView>
  </sheetViews>
  <sheetFormatPr baseColWidth="10" defaultRowHeight="15" x14ac:dyDescent="0.25"/>
  <sheetData>
    <row r="1" spans="1:17" x14ac:dyDescent="0.25">
      <c r="A1" s="67" t="s">
        <v>36</v>
      </c>
      <c r="B1" s="67"/>
      <c r="C1" s="67"/>
      <c r="D1" s="67"/>
      <c r="E1" s="67"/>
      <c r="F1" s="67"/>
      <c r="G1" s="67"/>
      <c r="H1" s="67"/>
    </row>
    <row r="2" spans="1:17" x14ac:dyDescent="0.25">
      <c r="A2" s="67"/>
      <c r="B2" s="67"/>
      <c r="C2" s="67"/>
      <c r="D2" s="67"/>
      <c r="E2" s="67"/>
      <c r="F2" s="67"/>
      <c r="G2" s="67"/>
      <c r="H2" s="67"/>
    </row>
    <row r="3" spans="1:17" x14ac:dyDescent="0.25">
      <c r="A3" s="67"/>
      <c r="B3" s="67"/>
      <c r="C3" s="67"/>
      <c r="D3" s="67"/>
      <c r="E3" s="67"/>
      <c r="F3" s="67"/>
      <c r="G3" s="67"/>
      <c r="H3" s="67"/>
    </row>
    <row r="4" spans="1:17" x14ac:dyDescent="0.25">
      <c r="A4" s="68" t="str">
        <f>Parametres!F16</f>
        <v>Version 3.10</v>
      </c>
      <c r="B4" s="68"/>
      <c r="C4" s="68"/>
      <c r="D4" s="68"/>
      <c r="E4" s="68"/>
      <c r="F4" s="68"/>
      <c r="G4" s="68"/>
      <c r="H4" s="68"/>
    </row>
    <row r="6" spans="1:17" x14ac:dyDescent="0.25">
      <c r="K6" s="69" t="s">
        <v>59</v>
      </c>
      <c r="L6" s="70"/>
      <c r="M6" s="70"/>
      <c r="N6" s="70"/>
      <c r="O6" s="70"/>
      <c r="P6" s="70"/>
      <c r="Q6" s="70"/>
    </row>
    <row r="7" spans="1:17" x14ac:dyDescent="0.25">
      <c r="K7" s="70"/>
      <c r="L7" s="70"/>
      <c r="M7" s="70"/>
      <c r="N7" s="70"/>
      <c r="O7" s="70"/>
      <c r="P7" s="70"/>
      <c r="Q7" s="70"/>
    </row>
    <row r="8" spans="1:17" x14ac:dyDescent="0.25">
      <c r="K8" s="70"/>
      <c r="L8" s="70"/>
      <c r="M8" s="70"/>
      <c r="N8" s="70"/>
      <c r="O8" s="70"/>
      <c r="P8" s="70"/>
      <c r="Q8" s="70"/>
    </row>
    <row r="9" spans="1:17" x14ac:dyDescent="0.25">
      <c r="K9" s="70"/>
      <c r="L9" s="70"/>
      <c r="M9" s="70"/>
      <c r="N9" s="70"/>
      <c r="O9" s="70"/>
      <c r="P9" s="70"/>
      <c r="Q9" s="70"/>
    </row>
    <row r="10" spans="1:17" x14ac:dyDescent="0.25">
      <c r="K10" s="70"/>
      <c r="L10" s="70"/>
      <c r="M10" s="70"/>
      <c r="N10" s="70"/>
      <c r="O10" s="70"/>
      <c r="P10" s="70"/>
      <c r="Q10" s="70"/>
    </row>
    <row r="11" spans="1:17" x14ac:dyDescent="0.25">
      <c r="K11" s="70"/>
      <c r="L11" s="70"/>
      <c r="M11" s="70"/>
      <c r="N11" s="70"/>
      <c r="O11" s="70"/>
      <c r="P11" s="70"/>
      <c r="Q11" s="70"/>
    </row>
    <row r="12" spans="1:17" x14ac:dyDescent="0.25">
      <c r="K12" s="70"/>
      <c r="L12" s="70"/>
      <c r="M12" s="70"/>
      <c r="N12" s="70"/>
      <c r="O12" s="70"/>
      <c r="P12" s="70"/>
      <c r="Q12" s="70"/>
    </row>
    <row r="13" spans="1:17" x14ac:dyDescent="0.25">
      <c r="K13" s="70"/>
      <c r="L13" s="70"/>
      <c r="M13" s="70"/>
      <c r="N13" s="70"/>
      <c r="O13" s="70"/>
      <c r="P13" s="70"/>
      <c r="Q13" s="70"/>
    </row>
    <row r="14" spans="1:17" x14ac:dyDescent="0.25">
      <c r="K14" s="70"/>
      <c r="L14" s="70"/>
      <c r="M14" s="70"/>
      <c r="N14" s="70"/>
      <c r="O14" s="70"/>
      <c r="P14" s="70"/>
      <c r="Q14" s="70"/>
    </row>
    <row r="15" spans="1:17" x14ac:dyDescent="0.25">
      <c r="K15" s="70"/>
      <c r="L15" s="70"/>
      <c r="M15" s="70"/>
      <c r="N15" s="70"/>
      <c r="O15" s="70"/>
      <c r="P15" s="70"/>
      <c r="Q15" s="70"/>
    </row>
    <row r="16" spans="1:17" x14ac:dyDescent="0.25">
      <c r="K16" s="70"/>
      <c r="L16" s="70"/>
      <c r="M16" s="70"/>
      <c r="N16" s="70"/>
      <c r="O16" s="70"/>
      <c r="P16" s="70"/>
      <c r="Q16" s="70"/>
    </row>
    <row r="17" spans="11:17" x14ac:dyDescent="0.25">
      <c r="K17" s="70"/>
      <c r="L17" s="70"/>
      <c r="M17" s="70"/>
      <c r="N17" s="70"/>
      <c r="O17" s="70"/>
      <c r="P17" s="70"/>
      <c r="Q17" s="70"/>
    </row>
    <row r="18" spans="11:17" x14ac:dyDescent="0.25">
      <c r="K18" s="70"/>
      <c r="L18" s="70"/>
      <c r="M18" s="70"/>
      <c r="N18" s="70"/>
      <c r="O18" s="70"/>
      <c r="P18" s="70"/>
      <c r="Q18" s="70"/>
    </row>
    <row r="19" spans="11:17" x14ac:dyDescent="0.25">
      <c r="K19" s="70"/>
      <c r="L19" s="70"/>
      <c r="M19" s="70"/>
      <c r="N19" s="70"/>
      <c r="O19" s="70"/>
      <c r="P19" s="70"/>
      <c r="Q19" s="70"/>
    </row>
    <row r="20" spans="11:17" x14ac:dyDescent="0.25">
      <c r="K20" s="70"/>
      <c r="L20" s="70"/>
      <c r="M20" s="70"/>
      <c r="N20" s="70"/>
      <c r="O20" s="70"/>
      <c r="P20" s="70"/>
      <c r="Q20" s="70"/>
    </row>
    <row r="21" spans="11:17" x14ac:dyDescent="0.25">
      <c r="K21" s="70"/>
      <c r="L21" s="70"/>
      <c r="M21" s="70"/>
      <c r="N21" s="70"/>
      <c r="O21" s="70"/>
      <c r="P21" s="70"/>
      <c r="Q21" s="70"/>
    </row>
    <row r="22" spans="11:17" x14ac:dyDescent="0.25">
      <c r="K22" s="70"/>
      <c r="L22" s="70"/>
      <c r="M22" s="70"/>
      <c r="N22" s="70"/>
      <c r="O22" s="70"/>
      <c r="P22" s="70"/>
      <c r="Q22" s="70"/>
    </row>
    <row r="23" spans="11:17" x14ac:dyDescent="0.25">
      <c r="K23" s="70"/>
      <c r="L23" s="70"/>
      <c r="M23" s="70"/>
      <c r="N23" s="70"/>
      <c r="O23" s="70"/>
      <c r="P23" s="70"/>
      <c r="Q23" s="70"/>
    </row>
    <row r="24" spans="11:17" x14ac:dyDescent="0.25">
      <c r="K24" s="70"/>
      <c r="L24" s="70"/>
      <c r="M24" s="70"/>
      <c r="N24" s="70"/>
      <c r="O24" s="70"/>
      <c r="P24" s="70"/>
      <c r="Q24" s="70"/>
    </row>
    <row r="25" spans="11:17" x14ac:dyDescent="0.25">
      <c r="K25" s="70"/>
      <c r="L25" s="70"/>
      <c r="M25" s="70"/>
      <c r="N25" s="70"/>
      <c r="O25" s="70"/>
      <c r="P25" s="70"/>
      <c r="Q25" s="70"/>
    </row>
  </sheetData>
  <mergeCells count="3">
    <mergeCell ref="A1:H3"/>
    <mergeCell ref="A4:H4"/>
    <mergeCell ref="K6:Q2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E32" sqref="E32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3"/>
      <c r="D1" s="24" t="s">
        <v>37</v>
      </c>
      <c r="E1" s="40" t="s">
        <v>38</v>
      </c>
      <c r="F1" s="3" t="s">
        <v>40</v>
      </c>
      <c r="H1" s="16" t="s">
        <v>52</v>
      </c>
      <c r="I1" s="16" t="s">
        <v>53</v>
      </c>
    </row>
    <row r="2" spans="1:27" ht="15.75" thickBot="1" x14ac:dyDescent="0.3">
      <c r="A2" s="7" t="s">
        <v>66</v>
      </c>
      <c r="C2" s="73"/>
      <c r="D2" s="28">
        <v>1</v>
      </c>
      <c r="E2" s="29">
        <v>4</v>
      </c>
      <c r="F2" s="23">
        <v>1</v>
      </c>
      <c r="H2" s="16" t="s">
        <v>54</v>
      </c>
      <c r="I2" s="16" t="s">
        <v>55</v>
      </c>
    </row>
    <row r="3" spans="1:27" ht="15.75" thickBot="1" x14ac:dyDescent="0.3">
      <c r="A3" s="8">
        <v>1.3888888888888889E-3</v>
      </c>
      <c r="C3" s="74"/>
      <c r="D3" s="4" t="s">
        <v>39</v>
      </c>
      <c r="E3" s="38" t="str">
        <f>"Nbre de Catégories : " &amp; B30</f>
        <v>Nbre de Catégories : 1</v>
      </c>
      <c r="H3" s="16" t="s">
        <v>56</v>
      </c>
      <c r="I3" s="16" t="s">
        <v>57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/>
      <c r="H4" s="16" t="s">
        <v>58</v>
      </c>
      <c r="I4" s="16" t="s">
        <v>68</v>
      </c>
    </row>
    <row r="5" spans="1:27" ht="15.75" thickBot="1" x14ac:dyDescent="0.3">
      <c r="A5" s="23">
        <f>ROUNDUP(SUM(D4:D29)/8,0)</f>
        <v>1</v>
      </c>
      <c r="B5" s="2">
        <v>2</v>
      </c>
      <c r="C5" s="26" t="str">
        <f t="shared" si="0"/>
        <v/>
      </c>
      <c r="D5" s="30"/>
      <c r="E5" s="6"/>
      <c r="AA5"/>
    </row>
    <row r="6" spans="1:27" ht="15.75" thickBot="1" x14ac:dyDescent="0.3">
      <c r="B6" s="2">
        <v>3</v>
      </c>
      <c r="C6" s="26" t="str">
        <f t="shared" si="0"/>
        <v/>
      </c>
      <c r="D6" s="30"/>
      <c r="E6" s="6"/>
      <c r="H6" s="16" t="s">
        <v>52</v>
      </c>
      <c r="I6" s="16" t="s">
        <v>54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/>
      </c>
      <c r="D7" s="30"/>
      <c r="E7" s="6"/>
      <c r="H7" s="16" t="s">
        <v>53</v>
      </c>
      <c r="I7" s="16" t="s">
        <v>55</v>
      </c>
      <c r="AA7"/>
    </row>
    <row r="8" spans="1:27" ht="15.75" thickBot="1" x14ac:dyDescent="0.3">
      <c r="A8" s="5">
        <f>ROUNDUP(SUM(D4:D29)/16,0)</f>
        <v>1</v>
      </c>
      <c r="B8" s="2">
        <v>5</v>
      </c>
      <c r="C8" s="26" t="str">
        <f t="shared" si="0"/>
        <v/>
      </c>
      <c r="D8" s="30"/>
      <c r="E8" s="6"/>
      <c r="H8" s="16" t="s">
        <v>56</v>
      </c>
      <c r="I8" s="16" t="s">
        <v>58</v>
      </c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H9" s="16" t="s">
        <v>57</v>
      </c>
      <c r="I9" s="16" t="s">
        <v>68</v>
      </c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H11" s="16" t="s">
        <v>52</v>
      </c>
      <c r="I11" s="16" t="s">
        <v>55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H12" s="16" t="s">
        <v>53</v>
      </c>
      <c r="I12" s="16" t="s">
        <v>54</v>
      </c>
      <c r="AA12"/>
    </row>
    <row r="13" spans="1:27" x14ac:dyDescent="0.25">
      <c r="A13" s="12" t="str">
        <f>A2</f>
        <v>00:10</v>
      </c>
      <c r="B13" s="2">
        <v>10</v>
      </c>
      <c r="C13" s="26" t="str">
        <f t="shared" si="0"/>
        <v/>
      </c>
      <c r="D13" s="30"/>
      <c r="E13" s="6"/>
      <c r="H13" s="16" t="s">
        <v>56</v>
      </c>
      <c r="I13" s="16" t="s">
        <v>68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57</v>
      </c>
      <c r="I14" s="16" t="s">
        <v>58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69</v>
      </c>
      <c r="H16" s="16" t="s">
        <v>52</v>
      </c>
      <c r="I16" s="16" t="s">
        <v>56</v>
      </c>
      <c r="AA16"/>
    </row>
    <row r="17" spans="1:27" x14ac:dyDescent="0.25">
      <c r="A17" s="37">
        <f>(counttour()/E2*(A2+A3)) + (ROUNDUP(IF(B31=TRUE,12*A5,12*A5*B30)/E2,0)*(A2+A3))</f>
        <v>8.3333333333333343E-2</v>
      </c>
      <c r="B17" s="2">
        <v>14</v>
      </c>
      <c r="C17" s="26" t="str">
        <f t="shared" si="0"/>
        <v/>
      </c>
      <c r="D17" s="30"/>
      <c r="E17" s="6"/>
      <c r="H17" s="16" t="s">
        <v>53</v>
      </c>
      <c r="I17" s="16" t="s">
        <v>57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71" t="s">
        <v>41</v>
      </c>
      <c r="H18" s="16" t="s">
        <v>54</v>
      </c>
      <c r="I18" s="16" t="s">
        <v>58</v>
      </c>
      <c r="AA18"/>
    </row>
    <row r="19" spans="1:27" x14ac:dyDescent="0.25">
      <c r="A19" s="12">
        <f>A15+A17+A21</f>
        <v>0.47916666666666669</v>
      </c>
      <c r="B19" s="2">
        <v>16</v>
      </c>
      <c r="C19" s="26" t="str">
        <f t="shared" si="0"/>
        <v/>
      </c>
      <c r="D19" s="30"/>
      <c r="E19" s="6"/>
      <c r="F19" s="71"/>
      <c r="H19" s="16" t="s">
        <v>55</v>
      </c>
      <c r="I19" s="16" t="s">
        <v>68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71"/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71"/>
      <c r="H21" s="16" t="s">
        <v>52</v>
      </c>
      <c r="I21" s="16" t="s">
        <v>57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53</v>
      </c>
      <c r="I22" s="16" t="s">
        <v>56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54</v>
      </c>
      <c r="I23" s="16" t="s">
        <v>68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72" t="s">
        <v>14</v>
      </c>
      <c r="H24" s="16" t="s">
        <v>55</v>
      </c>
      <c r="I24" s="16" t="s">
        <v>58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72"/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72"/>
      <c r="H26" s="16" t="s">
        <v>52</v>
      </c>
      <c r="I26" s="16" t="s">
        <v>58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72"/>
      <c r="H27" s="16" t="s">
        <v>53</v>
      </c>
      <c r="I27" s="16" t="s">
        <v>68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72"/>
      <c r="H28" s="16" t="s">
        <v>54</v>
      </c>
      <c r="I28" s="16" t="s">
        <v>56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72" t="s">
        <v>51</v>
      </c>
      <c r="H29" s="16" t="s">
        <v>55</v>
      </c>
      <c r="I29" s="16" t="s">
        <v>57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72"/>
    </row>
    <row r="31" spans="1:27" x14ac:dyDescent="0.25">
      <c r="A31" s="11" t="s">
        <v>45</v>
      </c>
      <c r="B31" s="36" t="b">
        <v>0</v>
      </c>
      <c r="D31" s="11" t="s">
        <v>33</v>
      </c>
      <c r="F31" s="72"/>
      <c r="H31" s="16" t="s">
        <v>52</v>
      </c>
      <c r="I31" s="16" t="s">
        <v>68</v>
      </c>
    </row>
    <row r="32" spans="1:27" x14ac:dyDescent="0.25">
      <c r="A32" s="41">
        <v>0.375</v>
      </c>
      <c r="B32" s="36" t="b">
        <v>1</v>
      </c>
      <c r="D32" s="29">
        <v>0</v>
      </c>
      <c r="H32" s="16" t="s">
        <v>53</v>
      </c>
      <c r="I32" s="16" t="s">
        <v>58</v>
      </c>
    </row>
    <row r="33" spans="1:9" x14ac:dyDescent="0.25">
      <c r="A33" s="11" t="s">
        <v>47</v>
      </c>
      <c r="B33" s="36" t="b">
        <v>0</v>
      </c>
      <c r="D33" s="11" t="s">
        <v>34</v>
      </c>
      <c r="F33" s="32"/>
      <c r="H33" s="16" t="s">
        <v>54</v>
      </c>
      <c r="I33" s="16" t="s">
        <v>57</v>
      </c>
    </row>
    <row r="34" spans="1:9" x14ac:dyDescent="0.25">
      <c r="A34" s="39">
        <f>(counttour()/E2*(A2+A3))+A32</f>
        <v>0.43333333333333335</v>
      </c>
      <c r="B34" s="36" t="b">
        <v>0</v>
      </c>
      <c r="D34" s="29">
        <v>0</v>
      </c>
      <c r="E34" s="2" t="str">
        <f>ROUNDUP(D32/E2,0) &amp; " ?"</f>
        <v>0 ?</v>
      </c>
      <c r="F34" s="2" t="s">
        <v>67</v>
      </c>
      <c r="H34" s="16" t="s">
        <v>55</v>
      </c>
      <c r="I34" s="16" t="s">
        <v>56</v>
      </c>
    </row>
    <row r="35" spans="1:9" x14ac:dyDescent="0.25">
      <c r="A35" s="11" t="s">
        <v>48</v>
      </c>
      <c r="D35" s="11" t="s">
        <v>50</v>
      </c>
    </row>
    <row r="36" spans="1:9" x14ac:dyDescent="0.25">
      <c r="A36" s="41">
        <v>0.47916666666666669</v>
      </c>
      <c r="D36" s="29" t="b">
        <v>0</v>
      </c>
      <c r="E36" s="2" t="s">
        <v>35</v>
      </c>
    </row>
    <row r="37" spans="1:9" x14ac:dyDescent="0.25">
      <c r="A37" s="11" t="s">
        <v>32</v>
      </c>
    </row>
    <row r="38" spans="1:9" x14ac:dyDescent="0.25">
      <c r="A38" s="39">
        <f>A36+(ROUNDUP(IF(B31=TRUE,12*A5,12*A5*B30)/E2,0)*(A2+A3))</f>
        <v>0.50416666666666665</v>
      </c>
    </row>
    <row r="39" spans="1:9" ht="16.5" thickBot="1" x14ac:dyDescent="0.3">
      <c r="A39" s="14"/>
    </row>
    <row r="40" spans="1:9" x14ac:dyDescent="0.25">
      <c r="A40" s="3" t="s">
        <v>49</v>
      </c>
    </row>
    <row r="41" spans="1:9" x14ac:dyDescent="0.25">
      <c r="A41" s="29">
        <v>4</v>
      </c>
    </row>
    <row r="42" spans="1:9" ht="15.75" x14ac:dyDescent="0.25">
      <c r="A42" s="14"/>
    </row>
    <row r="43" spans="1:9" ht="15.75" x14ac:dyDescent="0.25">
      <c r="A43" s="14"/>
    </row>
    <row r="44" spans="1:9" x14ac:dyDescent="0.25">
      <c r="A44" s="18"/>
    </row>
    <row r="45" spans="1:9" x14ac:dyDescent="0.25">
      <c r="A45" s="18"/>
    </row>
    <row r="46" spans="1:9" x14ac:dyDescent="0.25">
      <c r="A46" s="17"/>
    </row>
    <row r="47" spans="1:9" x14ac:dyDescent="0.25">
      <c r="A47" s="13"/>
    </row>
    <row r="48" spans="1:9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D68"/>
  <sheetViews>
    <sheetView workbookViewId="0">
      <selection activeCell="D7" sqref="D7"/>
    </sheetView>
  </sheetViews>
  <sheetFormatPr baseColWidth="10" defaultRowHeight="15" x14ac:dyDescent="0.25"/>
  <cols>
    <col min="1" max="2" width="6.5703125" style="75" customWidth="1"/>
  </cols>
  <sheetData>
    <row r="1" spans="1:4" x14ac:dyDescent="0.25">
      <c r="A1" s="75" t="s">
        <v>52</v>
      </c>
      <c r="B1" s="75" t="s">
        <v>53</v>
      </c>
    </row>
    <row r="2" spans="1:4" x14ac:dyDescent="0.25">
      <c r="A2" s="75" t="s">
        <v>54</v>
      </c>
      <c r="B2" s="76" t="s">
        <v>55</v>
      </c>
      <c r="C2" s="42"/>
      <c r="D2" s="42"/>
    </row>
    <row r="3" spans="1:4" x14ac:dyDescent="0.25">
      <c r="A3" s="75" t="s">
        <v>56</v>
      </c>
      <c r="B3" s="76" t="s">
        <v>57</v>
      </c>
      <c r="C3" s="42"/>
      <c r="D3" s="42"/>
    </row>
    <row r="4" spans="1:4" x14ac:dyDescent="0.25">
      <c r="A4" s="75" t="s">
        <v>58</v>
      </c>
      <c r="B4" s="76" t="s">
        <v>70</v>
      </c>
      <c r="C4" s="42"/>
      <c r="D4" s="42"/>
    </row>
    <row r="5" spans="1:4" x14ac:dyDescent="0.25">
      <c r="B5" s="76"/>
      <c r="C5" s="42"/>
      <c r="D5" s="42"/>
    </row>
    <row r="6" spans="1:4" x14ac:dyDescent="0.25">
      <c r="A6" s="75" t="s">
        <v>71</v>
      </c>
      <c r="B6" s="76" t="s">
        <v>72</v>
      </c>
      <c r="C6" s="42"/>
      <c r="D6" s="42"/>
    </row>
    <row r="7" spans="1:4" x14ac:dyDescent="0.25">
      <c r="A7" s="75" t="s">
        <v>73</v>
      </c>
      <c r="B7" s="76" t="s">
        <v>74</v>
      </c>
      <c r="C7" s="42"/>
      <c r="D7" s="42"/>
    </row>
    <row r="8" spans="1:4" x14ac:dyDescent="0.25">
      <c r="A8" s="75" t="s">
        <v>75</v>
      </c>
      <c r="B8" s="76" t="s">
        <v>76</v>
      </c>
      <c r="C8" s="42"/>
      <c r="D8" s="42"/>
    </row>
    <row r="9" spans="1:4" x14ac:dyDescent="0.25">
      <c r="B9" s="76"/>
      <c r="C9" s="42"/>
      <c r="D9" s="42"/>
    </row>
    <row r="10" spans="1:4" x14ac:dyDescent="0.25">
      <c r="B10" s="76"/>
      <c r="C10" s="42"/>
      <c r="D10" s="42"/>
    </row>
    <row r="11" spans="1:4" x14ac:dyDescent="0.25">
      <c r="A11" s="75" t="s">
        <v>52</v>
      </c>
      <c r="B11" s="76" t="s">
        <v>54</v>
      </c>
      <c r="C11" s="42"/>
      <c r="D11" s="42"/>
    </row>
    <row r="12" spans="1:4" x14ac:dyDescent="0.25">
      <c r="A12" s="75" t="s">
        <v>56</v>
      </c>
      <c r="B12" s="76" t="s">
        <v>55</v>
      </c>
      <c r="C12" s="42"/>
      <c r="D12" s="42"/>
    </row>
    <row r="13" spans="1:4" x14ac:dyDescent="0.25">
      <c r="A13" s="75" t="s">
        <v>57</v>
      </c>
      <c r="B13" s="76" t="s">
        <v>58</v>
      </c>
      <c r="C13" s="42"/>
      <c r="D13" s="42"/>
    </row>
    <row r="14" spans="1:4" x14ac:dyDescent="0.25">
      <c r="A14" s="75" t="s">
        <v>53</v>
      </c>
      <c r="B14" s="76" t="s">
        <v>72</v>
      </c>
      <c r="C14" s="42"/>
      <c r="D14" s="42"/>
    </row>
    <row r="15" spans="1:4" x14ac:dyDescent="0.25">
      <c r="B15" s="76"/>
      <c r="C15" s="42"/>
      <c r="D15" s="42"/>
    </row>
    <row r="16" spans="1:4" x14ac:dyDescent="0.25">
      <c r="A16" s="75" t="s">
        <v>71</v>
      </c>
      <c r="B16" s="76" t="s">
        <v>73</v>
      </c>
      <c r="C16" s="42"/>
      <c r="D16" s="42"/>
    </row>
    <row r="17" spans="1:4" x14ac:dyDescent="0.25">
      <c r="A17" s="75" t="s">
        <v>75</v>
      </c>
      <c r="B17" s="76" t="s">
        <v>74</v>
      </c>
      <c r="C17" s="42"/>
      <c r="D17" s="42"/>
    </row>
    <row r="18" spans="1:4" x14ac:dyDescent="0.25">
      <c r="A18" s="75" t="s">
        <v>76</v>
      </c>
      <c r="B18" s="76" t="s">
        <v>70</v>
      </c>
      <c r="C18" s="42"/>
      <c r="D18" s="42"/>
    </row>
    <row r="19" spans="1:4" x14ac:dyDescent="0.25">
      <c r="B19" s="76"/>
      <c r="C19" s="42"/>
      <c r="D19" s="42"/>
    </row>
    <row r="20" spans="1:4" x14ac:dyDescent="0.25">
      <c r="B20" s="76"/>
      <c r="C20" s="42"/>
      <c r="D20" s="42"/>
    </row>
    <row r="21" spans="1:4" x14ac:dyDescent="0.25">
      <c r="A21" s="75" t="s">
        <v>52</v>
      </c>
      <c r="B21" s="76" t="s">
        <v>55</v>
      </c>
      <c r="C21" s="42"/>
      <c r="D21" s="42"/>
    </row>
    <row r="22" spans="1:4" x14ac:dyDescent="0.25">
      <c r="A22" s="75" t="s">
        <v>53</v>
      </c>
      <c r="B22" s="76" t="s">
        <v>56</v>
      </c>
      <c r="C22" s="42"/>
      <c r="D22" s="42"/>
    </row>
    <row r="23" spans="1:4" x14ac:dyDescent="0.25">
      <c r="A23" s="75" t="s">
        <v>58</v>
      </c>
      <c r="B23" s="76" t="s">
        <v>54</v>
      </c>
      <c r="C23" s="42"/>
      <c r="D23" s="42"/>
    </row>
    <row r="24" spans="1:4" x14ac:dyDescent="0.25">
      <c r="A24" s="75" t="s">
        <v>57</v>
      </c>
      <c r="B24" s="76" t="s">
        <v>76</v>
      </c>
      <c r="C24" s="42"/>
      <c r="D24" s="42"/>
    </row>
    <row r="25" spans="1:4" x14ac:dyDescent="0.25">
      <c r="B25" s="76"/>
      <c r="C25" s="42"/>
      <c r="D25" s="42"/>
    </row>
    <row r="26" spans="1:4" x14ac:dyDescent="0.25">
      <c r="A26" s="75" t="s">
        <v>71</v>
      </c>
      <c r="B26" s="76" t="s">
        <v>74</v>
      </c>
      <c r="C26" s="42"/>
      <c r="D26" s="42"/>
    </row>
    <row r="27" spans="1:4" x14ac:dyDescent="0.25">
      <c r="A27" s="75" t="s">
        <v>72</v>
      </c>
      <c r="B27" s="76" t="s">
        <v>75</v>
      </c>
      <c r="C27" s="42"/>
      <c r="D27" s="42"/>
    </row>
    <row r="28" spans="1:4" x14ac:dyDescent="0.25">
      <c r="A28" s="75" t="s">
        <v>70</v>
      </c>
      <c r="B28" s="76" t="s">
        <v>73</v>
      </c>
      <c r="C28" s="42"/>
      <c r="D28" s="42"/>
    </row>
    <row r="29" spans="1:4" x14ac:dyDescent="0.25">
      <c r="B29" s="76"/>
      <c r="C29" s="42"/>
    </row>
    <row r="31" spans="1:4" x14ac:dyDescent="0.25">
      <c r="A31" s="75" t="s">
        <v>52</v>
      </c>
      <c r="B31" s="75" t="s">
        <v>56</v>
      </c>
    </row>
    <row r="32" spans="1:4" x14ac:dyDescent="0.25">
      <c r="A32" s="75" t="s">
        <v>57</v>
      </c>
      <c r="B32" s="75" t="s">
        <v>54</v>
      </c>
    </row>
    <row r="33" spans="1:2" x14ac:dyDescent="0.25">
      <c r="A33" s="75" t="s">
        <v>53</v>
      </c>
      <c r="B33" s="75" t="s">
        <v>58</v>
      </c>
    </row>
    <row r="34" spans="1:2" x14ac:dyDescent="0.25">
      <c r="A34" s="75" t="s">
        <v>55</v>
      </c>
      <c r="B34" s="75" t="s">
        <v>74</v>
      </c>
    </row>
    <row r="36" spans="1:2" x14ac:dyDescent="0.25">
      <c r="A36" s="75" t="s">
        <v>71</v>
      </c>
      <c r="B36" s="75" t="s">
        <v>75</v>
      </c>
    </row>
    <row r="37" spans="1:2" x14ac:dyDescent="0.25">
      <c r="A37" s="75" t="s">
        <v>76</v>
      </c>
      <c r="B37" s="75" t="s">
        <v>73</v>
      </c>
    </row>
    <row r="38" spans="1:2" x14ac:dyDescent="0.25">
      <c r="A38" s="75" t="s">
        <v>72</v>
      </c>
      <c r="B38" s="75" t="s">
        <v>70</v>
      </c>
    </row>
    <row r="41" spans="1:2" x14ac:dyDescent="0.25">
      <c r="A41" s="75" t="s">
        <v>54</v>
      </c>
      <c r="B41" s="75" t="s">
        <v>56</v>
      </c>
    </row>
    <row r="42" spans="1:2" x14ac:dyDescent="0.25">
      <c r="A42" s="75" t="s">
        <v>53</v>
      </c>
      <c r="B42" s="75" t="s">
        <v>57</v>
      </c>
    </row>
    <row r="43" spans="1:2" x14ac:dyDescent="0.25">
      <c r="A43" s="75" t="s">
        <v>55</v>
      </c>
      <c r="B43" s="75" t="s">
        <v>58</v>
      </c>
    </row>
    <row r="44" spans="1:2" x14ac:dyDescent="0.25">
      <c r="A44" s="75" t="s">
        <v>52</v>
      </c>
      <c r="B44" s="75" t="s">
        <v>71</v>
      </c>
    </row>
    <row r="46" spans="1:2" x14ac:dyDescent="0.25">
      <c r="A46" s="75" t="s">
        <v>73</v>
      </c>
      <c r="B46" s="75" t="s">
        <v>75</v>
      </c>
    </row>
    <row r="47" spans="1:2" x14ac:dyDescent="0.25">
      <c r="A47" s="75" t="s">
        <v>72</v>
      </c>
      <c r="B47" s="75" t="s">
        <v>76</v>
      </c>
    </row>
    <row r="48" spans="1:2" x14ac:dyDescent="0.25">
      <c r="A48" s="75" t="s">
        <v>74</v>
      </c>
      <c r="B48" s="75" t="s">
        <v>70</v>
      </c>
    </row>
    <row r="51" spans="1:2" x14ac:dyDescent="0.25">
      <c r="A51" s="75" t="s">
        <v>52</v>
      </c>
      <c r="B51" s="75" t="s">
        <v>57</v>
      </c>
    </row>
    <row r="52" spans="1:2" x14ac:dyDescent="0.25">
      <c r="A52" s="75" t="s">
        <v>53</v>
      </c>
      <c r="B52" s="75" t="s">
        <v>55</v>
      </c>
    </row>
    <row r="53" spans="1:2" x14ac:dyDescent="0.25">
      <c r="A53" s="75" t="s">
        <v>56</v>
      </c>
      <c r="B53" s="75" t="s">
        <v>58</v>
      </c>
    </row>
    <row r="54" spans="1:2" x14ac:dyDescent="0.25">
      <c r="A54" s="75" t="s">
        <v>54</v>
      </c>
      <c r="B54" s="75" t="s">
        <v>73</v>
      </c>
    </row>
    <row r="56" spans="1:2" x14ac:dyDescent="0.25">
      <c r="A56" s="75" t="s">
        <v>71</v>
      </c>
      <c r="B56" s="75" t="s">
        <v>76</v>
      </c>
    </row>
    <row r="57" spans="1:2" x14ac:dyDescent="0.25">
      <c r="A57" s="75" t="s">
        <v>72</v>
      </c>
      <c r="B57" s="75" t="s">
        <v>74</v>
      </c>
    </row>
    <row r="58" spans="1:2" x14ac:dyDescent="0.25">
      <c r="A58" s="75" t="s">
        <v>75</v>
      </c>
      <c r="B58" s="75" t="s">
        <v>70</v>
      </c>
    </row>
    <row r="61" spans="1:2" x14ac:dyDescent="0.25">
      <c r="A61" s="75" t="s">
        <v>52</v>
      </c>
      <c r="B61" s="75" t="s">
        <v>58</v>
      </c>
    </row>
    <row r="62" spans="1:2" x14ac:dyDescent="0.25">
      <c r="A62" s="75" t="s">
        <v>53</v>
      </c>
      <c r="B62" s="75" t="s">
        <v>54</v>
      </c>
    </row>
    <row r="63" spans="1:2" x14ac:dyDescent="0.25">
      <c r="A63" s="75" t="s">
        <v>55</v>
      </c>
      <c r="B63" s="75" t="s">
        <v>57</v>
      </c>
    </row>
    <row r="64" spans="1:2" x14ac:dyDescent="0.25">
      <c r="A64" s="75" t="s">
        <v>56</v>
      </c>
      <c r="B64" s="75" t="s">
        <v>75</v>
      </c>
    </row>
    <row r="66" spans="1:2" x14ac:dyDescent="0.25">
      <c r="A66" s="75" t="s">
        <v>71</v>
      </c>
      <c r="B66" s="75" t="s">
        <v>70</v>
      </c>
    </row>
    <row r="67" spans="1:2" x14ac:dyDescent="0.25">
      <c r="A67" s="75" t="s">
        <v>72</v>
      </c>
      <c r="B67" s="75" t="s">
        <v>73</v>
      </c>
    </row>
    <row r="68" spans="1:2" x14ac:dyDescent="0.25">
      <c r="A68" s="75" t="s">
        <v>74</v>
      </c>
      <c r="B68" s="75" t="s">
        <v>76</v>
      </c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/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62</v>
      </c>
      <c r="L1" s="34" t="s">
        <v>60</v>
      </c>
      <c r="M1" s="34" t="s">
        <v>62</v>
      </c>
      <c r="N1" s="34" t="s">
        <v>61</v>
      </c>
      <c r="O1" s="34" t="s">
        <v>62</v>
      </c>
      <c r="P1" s="34" t="s">
        <v>65</v>
      </c>
      <c r="Q1" s="34" t="s">
        <v>62</v>
      </c>
      <c r="R1" s="34" t="s">
        <v>64</v>
      </c>
      <c r="S1" s="34" t="s">
        <v>62</v>
      </c>
      <c r="T1" s="34" t="s">
        <v>63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62</v>
      </c>
      <c r="AF1" s="34" t="s">
        <v>60</v>
      </c>
      <c r="AG1" s="34" t="s">
        <v>62</v>
      </c>
      <c r="AH1" s="34" t="s">
        <v>61</v>
      </c>
      <c r="AI1" s="34" t="s">
        <v>62</v>
      </c>
      <c r="AJ1" s="34" t="s">
        <v>65</v>
      </c>
      <c r="AK1" s="34" t="s">
        <v>62</v>
      </c>
      <c r="AL1" s="34" t="s">
        <v>64</v>
      </c>
      <c r="AM1" s="34" t="s">
        <v>62</v>
      </c>
      <c r="AN1" s="34" t="s">
        <v>63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62</v>
      </c>
      <c r="AZ1" s="34" t="s">
        <v>60</v>
      </c>
      <c r="BA1" s="34" t="s">
        <v>62</v>
      </c>
      <c r="BB1" s="34" t="s">
        <v>61</v>
      </c>
      <c r="BC1" s="34" t="s">
        <v>62</v>
      </c>
      <c r="BD1" s="34" t="s">
        <v>65</v>
      </c>
      <c r="BE1" s="34" t="s">
        <v>62</v>
      </c>
      <c r="BF1" s="34" t="s">
        <v>64</v>
      </c>
      <c r="BG1" s="34" t="s">
        <v>62</v>
      </c>
      <c r="BH1" s="34" t="s">
        <v>63</v>
      </c>
      <c r="BI1" s="34" t="s">
        <v>17</v>
      </c>
      <c r="BJ1" s="34" t="s">
        <v>16</v>
      </c>
      <c r="BK1" s="34" t="s">
        <v>17</v>
      </c>
      <c r="BL1" s="34" t="s">
        <v>18</v>
      </c>
      <c r="BM1" s="34" t="s">
        <v>17</v>
      </c>
      <c r="BN1" s="34" t="s">
        <v>19</v>
      </c>
      <c r="BO1" s="34" t="s">
        <v>17</v>
      </c>
      <c r="BP1" s="34" t="s">
        <v>20</v>
      </c>
      <c r="BQ1" s="34" t="s">
        <v>17</v>
      </c>
      <c r="BR1" s="34" t="s">
        <v>21</v>
      </c>
      <c r="BS1" s="34" t="s">
        <v>62</v>
      </c>
      <c r="BT1" s="34" t="s">
        <v>60</v>
      </c>
      <c r="BU1" s="34" t="s">
        <v>62</v>
      </c>
      <c r="BV1" s="34" t="s">
        <v>61</v>
      </c>
      <c r="BW1" s="34" t="s">
        <v>62</v>
      </c>
      <c r="BX1" s="34" t="s">
        <v>65</v>
      </c>
      <c r="BY1" s="34" t="s">
        <v>62</v>
      </c>
      <c r="BZ1" s="34" t="s">
        <v>64</v>
      </c>
      <c r="CA1" s="34" t="s">
        <v>62</v>
      </c>
      <c r="CB1" s="34" t="s">
        <v>63</v>
      </c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2023-06-24T18:46:44Z</dcterms:modified>
</cp:coreProperties>
</file>